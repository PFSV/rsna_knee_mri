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cb4e09e2054f99" /></Relationships>
</file>

<file path=xl/workbook.xml><?xml version="1.0" encoding="utf-8"?>
<x:workbook xmlns:x="http://schemas.openxmlformats.org/spreadsheetml/2006/main">
  <x:sheets>
    <x:sheet xmlns:r="http://schemas.openxmlformats.org/officeDocument/2006/relationships" name="요약" sheetId="1" r:id="R8e5be2bc552f4f1e"/>
    <x:sheet xmlns:r="http://schemas.openxmlformats.org/officeDocument/2006/relationships" name="LLM-원본비교" sheetId="2" r:id="Ra95c5b6258f0414c"/>
    <x:sheet xmlns:r="http://schemas.openxmlformats.org/officeDocument/2006/relationships" name="후보비교" sheetId="3" r:id="R5392d763f3f14d75"/>
    <x:sheet xmlns:r="http://schemas.openxmlformats.org/officeDocument/2006/relationships" name="라벨쌍비교" sheetId="4" r:id="R73eca2c142c8480f"/>
    <x:sheet xmlns:r="http://schemas.openxmlformats.org/officeDocument/2006/relationships" name="관계행렬" sheetId="5" r:id="Rea9ed2484be143a1"/>
    <x:sheet xmlns:r="http://schemas.openxmlformats.org/officeDocument/2006/relationships" name="전체관계" sheetId="6" r:id="Re16ead7de3814a36"/>
    <x:sheet xmlns:r="http://schemas.openxmlformats.org/officeDocument/2006/relationships" name="원본58건" sheetId="7" r:id="Rae3a4bb178774aea"/>
    <x:sheet xmlns:r="http://schemas.openxmlformats.org/officeDocument/2006/relationships" name="지표설명" sheetId="8" r:id="R910c73c93d5c4d9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
    <x:numFmt numFmtId="202" formatCode="0.00"/>
    <x:numFmt numFmtId="203" formatCode="0.0000"/>
    <x:numFmt numFmtId="204" formatCode="0.000"/>
  </x:numFmts>
  <x:fonts count="20">
    <x:font>
      <x:sz val="11"/>
      <x:name val="Carlito"/>
    </x:font>
    <x:font>
      <x:b/>
      <x:sz val="11"/>
      <x:color rgb="FFFFFFFF"/>
      <x:name val="Carlito"/>
    </x:font>
    <x:font>
      <x:b/>
      <x:sz val="18"/>
      <x:color rgb="FFFFFFFF"/>
      <x:name val="Carlito"/>
    </x:font>
    <x:font>
      <x:i/>
      <x:sz val="11"/>
      <x:color rgb="FF17324D"/>
      <x:name val="Carlito"/>
    </x:font>
    <x:font>
      <x:b/>
      <x:sz val="18"/>
      <x:color rgb="FF167D88"/>
      <x:name val="Carlito"/>
    </x:font>
    <x:font>
      <x:b/>
      <x:sz val="18"/>
      <x:color rgb="FF2E7D32"/>
      <x:name val="Carlito"/>
    </x:font>
    <x:font>
      <x:b/>
      <x:sz val="18"/>
      <x:color rgb="FFB42318"/>
      <x:name val="Carlito"/>
    </x:font>
    <x:font>
      <x:b/>
      <x:sz val="18"/>
      <x:color rgb="FF5B6573"/>
      <x:name val="Carlito"/>
    </x:font>
    <x:font>
      <x:b/>
      <x:sz val="13"/>
      <x:color rgb="FFFFFFFF"/>
      <x:name val="Carlito"/>
    </x:font>
    <x:font>
      <x:b/>
      <x:sz val="14"/>
      <x:color rgb="FFFFFFFF"/>
      <x:name val="Carlito"/>
    </x:font>
    <x:font>
      <x:b/>
      <x:sz val="11"/>
      <x:color rgb="FF17324D"/>
      <x:name val="Carlito"/>
    </x:font>
    <x:font>
      <x:b/>
      <x:sz val="16"/>
      <x:color rgb="FFFFFFFF"/>
      <x:name val="Carlito"/>
    </x:font>
    <x:font>
      <x:b/>
      <x:sz val="11"/>
      <x:color rgb="FFD97706"/>
      <x:name val="Carlito"/>
    </x:font>
    <x:font>
      <x:b/>
      <x:sz val="20"/>
      <x:color rgb="FFFFFFFF"/>
      <x:name val="Carlito"/>
    </x:font>
    <x:font>
      <x:b/>
      <x:sz val="22"/>
      <x:color rgb="FF167D88"/>
      <x:name val="Carlito"/>
    </x:font>
    <x:font>
      <x:b/>
      <x:sz val="22"/>
      <x:color rgb="FF2E7D32"/>
      <x:name val="Carlito"/>
    </x:font>
    <x:font>
      <x:b/>
      <x:sz val="22"/>
      <x:color rgb="FFD97706"/>
      <x:name val="Carlito"/>
    </x:font>
    <x:font>
      <x:b/>
      <x:sz val="22"/>
      <x:color rgb="FFB42318"/>
      <x:name val="Carlito"/>
    </x:font>
    <x:font>
      <x:sz val="11"/>
      <x:color rgb="FFD97706"/>
      <x:name val="Carlito"/>
    </x:font>
    <x:font>
      <x:b/>
      <x:sz val="11"/>
      <x:color rgb="FFB42318"/>
      <x:name val="Carlito"/>
    </x:font>
  </x:fonts>
  <x:fills count="18">
    <x:fill>
      <x:patternFill patternType="none"/>
    </x:fill>
    <x:fill>
      <x:patternFill patternType="gray125"/>
    </x:fill>
    <x:fill>
      <x:patternFill patternType="solid">
        <x:fgColor rgb="FF17324D"/>
      </x:patternFill>
    </x:fill>
    <x:fill>
      <x:patternFill patternType="solid">
        <x:fgColor rgb="FF167D88"/>
      </x:patternFill>
    </x:fill>
    <x:fill>
      <x:patternFill patternType="solid">
        <x:fgColor rgb="FFEAF1F8"/>
      </x:patternFill>
    </x:fill>
    <x:fill>
      <x:patternFill patternType="solid">
        <x:fgColor rgb="FFFFFFFF"/>
      </x:patternFill>
    </x:fill>
    <x:fill>
      <x:patternFill patternType="solid">
        <x:fgColor rgb="FF2E7D32"/>
      </x:patternFill>
    </x:fill>
    <x:fill>
      <x:patternFill patternType="solid">
        <x:fgColor rgb="FFB42318"/>
      </x:patternFill>
    </x:fill>
    <x:fill>
      <x:patternFill patternType="solid">
        <x:fgColor rgb="FF5B6573"/>
      </x:patternFill>
    </x:fill>
    <x:fill>
      <x:patternFill patternType="solid">
        <x:fgColor rgb="FFD97706"/>
      </x:patternFill>
    </x:fill>
    <x:fill>
      <x:patternFill patternType="solid">
        <x:fgColor rgb="FFE6F4EA"/>
      </x:patternFill>
    </x:fill>
    <x:fill>
      <x:patternFill patternType="solid">
        <x:fgColor rgb="FFFFF2D8"/>
      </x:patternFill>
    </x:fill>
    <x:fill>
      <x:patternFill patternType="solid">
        <x:fgColor rgb="FFF2F4F7"/>
      </x:patternFill>
    </x:fill>
    <x:fill>
      <x:patternFill patternType="solid">
        <x:fgColor rgb="FF5167A3"/>
      </x:patternFill>
    </x:fill>
    <x:fill>
      <x:patternFill patternType="solid">
        <x:fgColor rgb="FF8B5E34"/>
      </x:patternFill>
    </x:fill>
    <x:fill>
      <x:patternFill patternType="solid">
        <x:fgColor rgb="FFB54708"/>
      </x:patternFill>
    </x:fill>
    <x:fill>
      <x:patternFill patternType="solid">
        <x:fgColor rgb="FF7A3E9D"/>
      </x:patternFill>
    </x:fill>
    <x:fill>
      <x:patternFill patternType="solid">
        <x:fgColor rgb="FFFDE8E7"/>
      </x:patternFill>
    </x:fill>
  </x:fills>
  <x:borders count="52">
    <x:border/>
    <x:border>
      <x:left style="medium">
        <x:color rgb="FF167D88"/>
      </x:left>
      <x:top style="medium">
        <x:color rgb="FF167D88"/>
      </x:top>
    </x:border>
    <x:border>
      <x:right style="medium">
        <x:color rgb="FF167D88"/>
      </x:right>
      <x:top style="medium">
        <x:color rgb="FF167D88"/>
      </x:top>
    </x:border>
    <x:border>
      <x:left style="medium">
        <x:color rgb="FF167D88"/>
      </x:left>
      <x:bottom style="medium">
        <x:color rgb="FF167D88"/>
      </x:bottom>
    </x:border>
    <x:border>
      <x:right style="medium">
        <x:color rgb="FF167D88"/>
      </x:right>
      <x:bottom style="medium">
        <x:color rgb="FF167D88"/>
      </x:bottom>
    </x:border>
    <x:border>
      <x:left style="medium">
        <x:color rgb="FF2E7D32"/>
      </x:left>
      <x:top style="medium">
        <x:color rgb="FF2E7D32"/>
      </x:top>
    </x:border>
    <x:border>
      <x:right style="medium">
        <x:color rgb="FF2E7D32"/>
      </x:right>
      <x:top style="medium">
        <x:color rgb="FF2E7D32"/>
      </x:top>
    </x:border>
    <x:border>
      <x:left style="medium">
        <x:color rgb="FF2E7D32"/>
      </x:left>
      <x:bottom style="medium">
        <x:color rgb="FF2E7D32"/>
      </x:bottom>
    </x:border>
    <x:border>
      <x:right style="medium">
        <x:color rgb="FF2E7D32"/>
      </x:right>
      <x:bottom style="medium">
        <x:color rgb="FF2E7D32"/>
      </x:bottom>
    </x:border>
    <x:border>
      <x:left style="medium">
        <x:color rgb="FFB42318"/>
      </x:left>
      <x:top style="medium">
        <x:color rgb="FFB42318"/>
      </x:top>
    </x:border>
    <x:border>
      <x:right style="medium">
        <x:color rgb="FFB42318"/>
      </x:right>
      <x:top style="medium">
        <x:color rgb="FFB42318"/>
      </x:top>
    </x:border>
    <x:border>
      <x:left style="medium">
        <x:color rgb="FFB42318"/>
      </x:left>
      <x:bottom style="medium">
        <x:color rgb="FFB42318"/>
      </x:bottom>
    </x:border>
    <x:border>
      <x:right style="medium">
        <x:color rgb="FFB42318"/>
      </x:right>
      <x:bottom style="medium">
        <x:color rgb="FFB42318"/>
      </x:bottom>
    </x:border>
    <x:border>
      <x:left style="medium">
        <x:color rgb="FF5B6573"/>
      </x:left>
      <x:top style="medium">
        <x:color rgb="FF5B6573"/>
      </x:top>
    </x:border>
    <x:border>
      <x:right style="medium">
        <x:color rgb="FF5B6573"/>
      </x:right>
      <x:top style="medium">
        <x:color rgb="FF5B6573"/>
      </x:top>
    </x:border>
    <x:border>
      <x:left style="medium">
        <x:color rgb="FF5B6573"/>
      </x:left>
      <x:bottom style="medium">
        <x:color rgb="FF5B6573"/>
      </x:bottom>
    </x:border>
    <x:border>
      <x:right style="medium">
        <x:color rgb="FF5B6573"/>
      </x:right>
      <x:bottom style="medium">
        <x:color rgb="FF5B6573"/>
      </x:bottom>
    </x:border>
    <x:border>
      <x:left style="thin">
        <x:color rgb="FFD0D5DD"/>
      </x:left>
      <x:right style="thin">
        <x:color rgb="FFD0D5DD"/>
      </x:right>
      <x:top style="thin">
        <x:color rgb="FFD0D5DD"/>
      </x:top>
      <x:bottom style="thin">
        <x:color rgb="FFD0D5DD"/>
      </x:bottom>
    </x:border>
    <x:border>
      <x:left style="medium">
        <x:color rgb="FFD97706"/>
      </x:left>
      <x:top style="medium">
        <x:color rgb="FFD97706"/>
      </x:top>
      <x:bottom style="medium">
        <x:color rgb="FFD97706"/>
      </x:bottom>
    </x:border>
    <x:border>
      <x:top style="medium">
        <x:color rgb="FFD97706"/>
      </x:top>
      <x:bottom style="medium">
        <x:color rgb="FFD97706"/>
      </x:bottom>
    </x:border>
    <x:border>
      <x:right style="medium">
        <x:color rgb="FFD97706"/>
      </x:right>
      <x:top style="medium">
        <x:color rgb="FFD97706"/>
      </x:top>
      <x:bottom style="medium">
        <x:color rgb="FFD97706"/>
      </x:bottom>
    </x:border>
    <x:border>
      <x:left style="medium">
        <x:color rgb="FF167D88"/>
      </x:left>
      <x:top style="medium">
        <x:color rgb="FF167D88"/>
      </x:top>
      <x:bottom style="medium">
        <x:color rgb="FF167D88"/>
      </x:bottom>
    </x:border>
    <x:border>
      <x:top style="medium">
        <x:color rgb="FF167D88"/>
      </x:top>
      <x:bottom style="medium">
        <x:color rgb="FF167D88"/>
      </x:bottom>
    </x:border>
    <x:border>
      <x:right style="medium">
        <x:color rgb="FF167D88"/>
      </x:right>
      <x:top style="medium">
        <x:color rgb="FF167D88"/>
      </x:top>
      <x:bottom style="medium">
        <x:color rgb="FF167D88"/>
      </x:bottom>
    </x:border>
    <x:border>
      <x:top style="medium">
        <x:color rgb="FF167D88"/>
      </x:top>
    </x:border>
    <x:border>
      <x:bottom style="medium">
        <x:color rgb="FF167D88"/>
      </x:bottom>
    </x:border>
    <x:border>
      <x:left style="medium">
        <x:color rgb="FF2E7D32"/>
      </x:left>
      <x:top style="medium">
        <x:color rgb="FF2E7D32"/>
      </x:top>
      <x:bottom style="medium">
        <x:color rgb="FF2E7D32"/>
      </x:bottom>
    </x:border>
    <x:border>
      <x:top style="medium">
        <x:color rgb="FF2E7D32"/>
      </x:top>
      <x:bottom style="medium">
        <x:color rgb="FF2E7D32"/>
      </x:bottom>
    </x:border>
    <x:border>
      <x:right style="medium">
        <x:color rgb="FF2E7D32"/>
      </x:right>
      <x:top style="medium">
        <x:color rgb="FF2E7D32"/>
      </x:top>
      <x:bottom style="medium">
        <x:color rgb="FF2E7D32"/>
      </x:bottom>
    </x:border>
    <x:border>
      <x:top style="medium">
        <x:color rgb="FF2E7D32"/>
      </x:top>
    </x:border>
    <x:border>
      <x:bottom style="medium">
        <x:color rgb="FF2E7D32"/>
      </x:bottom>
    </x:border>
    <x:border>
      <x:left style="medium">
        <x:color rgb="FFD97706"/>
      </x:left>
      <x:top style="medium">
        <x:color rgb="FFD97706"/>
      </x:top>
    </x:border>
    <x:border>
      <x:top style="medium">
        <x:color rgb="FFD97706"/>
      </x:top>
    </x:border>
    <x:border>
      <x:right style="medium">
        <x:color rgb="FFD97706"/>
      </x:right>
      <x:top style="medium">
        <x:color rgb="FFD97706"/>
      </x:top>
    </x:border>
    <x:border>
      <x:left style="medium">
        <x:color rgb="FFD97706"/>
      </x:left>
      <x:bottom style="medium">
        <x:color rgb="FFD97706"/>
      </x:bottom>
    </x:border>
    <x:border>
      <x:bottom style="medium">
        <x:color rgb="FFD97706"/>
      </x:bottom>
    </x:border>
    <x:border>
      <x:right style="medium">
        <x:color rgb="FFD97706"/>
      </x:right>
      <x:bottom style="medium">
        <x:color rgb="FFD97706"/>
      </x:bottom>
    </x:border>
    <x:border>
      <x:left style="medium">
        <x:color rgb="FFB42318"/>
      </x:left>
      <x:top style="medium">
        <x:color rgb="FFB42318"/>
      </x:top>
      <x:bottom style="medium">
        <x:color rgb="FFB42318"/>
      </x:bottom>
    </x:border>
    <x:border>
      <x:top style="medium">
        <x:color rgb="FFB42318"/>
      </x:top>
      <x:bottom style="medium">
        <x:color rgb="FFB42318"/>
      </x:bottom>
    </x:border>
    <x:border>
      <x:right style="medium">
        <x:color rgb="FFB42318"/>
      </x:right>
      <x:top style="medium">
        <x:color rgb="FFB42318"/>
      </x:top>
      <x:bottom style="medium">
        <x:color rgb="FFB42318"/>
      </x:bottom>
    </x:border>
    <x:border>
      <x:top style="medium">
        <x:color rgb="FFB42318"/>
      </x:top>
    </x:border>
    <x:border>
      <x:bottom style="medium">
        <x:color rgb="FFB42318"/>
      </x:bottom>
    </x:border>
    <x:border>
      <x:right style="thin">
        <x:color rgb="FFD0D5DD"/>
      </x:right>
      <x:bottom style="thin">
        <x:color rgb="FFD0D5DD"/>
      </x:bottom>
    </x:border>
    <x:border>
      <x:left style="thin">
        <x:color rgb="FFD0D5DD"/>
      </x:left>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right style="thin">
        <x:color rgb="FFD0D5DD"/>
      </x:right>
      <x:top style="thin">
        <x:color rgb="FFD0D5DD"/>
      </x:top>
    </x:border>
    <x:border>
      <x:left style="thin">
        <x:color rgb="FFD0D5DD"/>
      </x:left>
      <x:top style="thin">
        <x:color rgb="FFD0D5DD"/>
      </x:top>
    </x:border>
    <x:border>
      <x:left style="medium">
        <x:color rgb="FFD97706"/>
      </x:left>
    </x:border>
    <x:border>
      <x:right style="medium">
        <x:color rgb="FFD97706"/>
      </x:right>
    </x:border>
  </x:borders>
  <x:cellStyleXfs count="1">
    <x:xf numFmtId="0" fontId="0" fillId="0" borderId="0"/>
  </x:cellStyleXfs>
  <x:cellXfs count="3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1" fillId="3" borderId="0" xfId="0" applyNumberFormat="1" applyFont="1" applyFill="1" applyBorder="1" applyAlignment="1">
      <x:alignment horizontal="center"/>
    </x:xf>
    <x:xf numFmtId="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201" fontId="4" fillId="5" borderId="1" xfId="0" applyNumberFormat="1" applyFont="1" applyFill="1" applyBorder="1"/>
    <x:xf numFmtId="201" fontId="4" fillId="5" borderId="2" xfId="0" applyNumberFormat="1" applyFont="1" applyFill="1" applyBorder="1"/>
    <x:xf numFmtId="201" fontId="4" fillId="5" borderId="3" xfId="0" applyNumberFormat="1" applyFont="1" applyFill="1" applyBorder="1"/>
    <x:xf numFmtId="201" fontId="4" fillId="5" borderId="4" xfId="0" applyNumberFormat="1" applyFont="1" applyFill="1" applyBorder="1"/>
    <x:xf numFmtId="201" fontId="4" fillId="5" borderId="1" xfId="0" applyNumberFormat="1" applyFont="1" applyFill="1" applyBorder="1" applyAlignment="1">
      <x:alignment horizontal="center"/>
    </x:xf>
    <x:xf numFmtId="201" fontId="4" fillId="5" borderId="2" xfId="0" applyNumberFormat="1" applyFont="1" applyFill="1" applyBorder="1" applyAlignment="1">
      <x:alignment horizontal="center"/>
    </x:xf>
    <x:xf numFmtId="201" fontId="4" fillId="5" borderId="3" xfId="0" applyNumberFormat="1" applyFont="1" applyFill="1" applyBorder="1" applyAlignment="1">
      <x:alignment horizontal="center"/>
    </x:xf>
    <x:xf numFmtId="201" fontId="4" fillId="5" borderId="4" xfId="0" applyNumberFormat="1" applyFont="1" applyFill="1" applyBorder="1" applyAlignment="1">
      <x:alignment horizontal="center"/>
    </x:xf>
    <x:xf numFmtId="201" fontId="4" fillId="5" borderId="1" xfId="0" applyNumberFormat="1" applyFont="1" applyFill="1" applyBorder="1" applyAlignment="1">
      <x:alignment horizontal="center" vertical="center"/>
    </x:xf>
    <x:xf numFmtId="201" fontId="4" fillId="5" borderId="2" xfId="0" applyNumberFormat="1" applyFont="1" applyFill="1" applyBorder="1" applyAlignment="1">
      <x:alignment horizontal="center" vertical="center"/>
    </x:xf>
    <x:xf numFmtId="201" fontId="4" fillId="5" borderId="3" xfId="0" applyNumberFormat="1" applyFont="1" applyFill="1" applyBorder="1" applyAlignment="1">
      <x:alignment horizontal="center" vertical="center"/>
    </x:xf>
    <x:xf numFmtId="201" fontId="4" fillId="5" borderId="4"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5" fillId="5" borderId="0"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200" fontId="5" fillId="5" borderId="5" xfId="0" applyNumberFormat="1" applyFont="1" applyFill="1" applyBorder="1"/>
    <x:xf numFmtId="200" fontId="5" fillId="5" borderId="6" xfId="0" applyNumberFormat="1" applyFont="1" applyFill="1" applyBorder="1"/>
    <x:xf numFmtId="200" fontId="5" fillId="5" borderId="7" xfId="0" applyNumberFormat="1" applyFont="1" applyFill="1" applyBorder="1"/>
    <x:xf numFmtId="200" fontId="5" fillId="5" borderId="8" xfId="0" applyNumberFormat="1" applyFont="1" applyFill="1" applyBorder="1"/>
    <x:xf numFmtId="200" fontId="5" fillId="5" borderId="5" xfId="0" applyNumberFormat="1" applyFont="1" applyFill="1" applyBorder="1" applyAlignment="1">
      <x:alignment horizontal="center"/>
    </x:xf>
    <x:xf numFmtId="200" fontId="5" fillId="5" borderId="6" xfId="0" applyNumberFormat="1" applyFont="1" applyFill="1" applyBorder="1" applyAlignment="1">
      <x:alignment horizontal="center"/>
    </x:xf>
    <x:xf numFmtId="200" fontId="5" fillId="5" borderId="7" xfId="0" applyNumberFormat="1" applyFont="1" applyFill="1" applyBorder="1" applyAlignment="1">
      <x:alignment horizontal="center"/>
    </x:xf>
    <x:xf numFmtId="200" fontId="5" fillId="5" borderId="8" xfId="0" applyNumberFormat="1" applyFont="1" applyFill="1" applyBorder="1" applyAlignment="1">
      <x:alignment horizontal="center"/>
    </x:xf>
    <x:xf numFmtId="200" fontId="5" fillId="5" borderId="5" xfId="0" applyNumberFormat="1" applyFont="1" applyFill="1" applyBorder="1" applyAlignment="1">
      <x:alignment horizontal="center" vertical="center"/>
    </x:xf>
    <x:xf numFmtId="200" fontId="5" fillId="5" borderId="6" xfId="0" applyNumberFormat="1" applyFont="1" applyFill="1" applyBorder="1" applyAlignment="1">
      <x:alignment horizontal="center" vertical="center"/>
    </x:xf>
    <x:xf numFmtId="200" fontId="5" fillId="5" borderId="7" xfId="0" applyNumberFormat="1" applyFont="1" applyFill="1" applyBorder="1" applyAlignment="1">
      <x:alignment horizontal="center" vertical="center"/>
    </x:xf>
    <x:xf numFmtId="200" fontId="5" fillId="5" borderId="8"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6" fillId="5" borderId="0"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201" fontId="6" fillId="5" borderId="9" xfId="0" applyNumberFormat="1" applyFont="1" applyFill="1" applyBorder="1"/>
    <x:xf numFmtId="201" fontId="6" fillId="5" borderId="10" xfId="0" applyNumberFormat="1" applyFont="1" applyFill="1" applyBorder="1"/>
    <x:xf numFmtId="201" fontId="6" fillId="5" borderId="11" xfId="0" applyNumberFormat="1" applyFont="1" applyFill="1" applyBorder="1"/>
    <x:xf numFmtId="201" fontId="6" fillId="5" borderId="12" xfId="0" applyNumberFormat="1" applyFont="1" applyFill="1" applyBorder="1"/>
    <x:xf numFmtId="201" fontId="6" fillId="5" borderId="9" xfId="0" applyNumberFormat="1" applyFont="1" applyFill="1" applyBorder="1" applyAlignment="1">
      <x:alignment horizontal="center"/>
    </x:xf>
    <x:xf numFmtId="201" fontId="6" fillId="5" borderId="10" xfId="0" applyNumberFormat="1" applyFont="1" applyFill="1" applyBorder="1" applyAlignment="1">
      <x:alignment horizontal="center"/>
    </x:xf>
    <x:xf numFmtId="201" fontId="6" fillId="5" borderId="11" xfId="0" applyNumberFormat="1" applyFont="1" applyFill="1" applyBorder="1" applyAlignment="1">
      <x:alignment horizontal="center"/>
    </x:xf>
    <x:xf numFmtId="201" fontId="6" fillId="5" borderId="12" xfId="0" applyNumberFormat="1" applyFont="1" applyFill="1" applyBorder="1" applyAlignment="1">
      <x:alignment horizontal="center"/>
    </x:xf>
    <x:xf numFmtId="201" fontId="6" fillId="5" borderId="9" xfId="0" applyNumberFormat="1" applyFont="1" applyFill="1" applyBorder="1" applyAlignment="1">
      <x:alignment horizontal="center" vertical="center"/>
    </x:xf>
    <x:xf numFmtId="201" fontId="6" fillId="5" borderId="10" xfId="0" applyNumberFormat="1" applyFont="1" applyFill="1" applyBorder="1" applyAlignment="1">
      <x:alignment horizontal="center" vertical="center"/>
    </x:xf>
    <x:xf numFmtId="201" fontId="6" fillId="5" borderId="11" xfId="0" applyNumberFormat="1" applyFont="1" applyFill="1" applyBorder="1" applyAlignment="1">
      <x:alignment horizontal="center" vertical="center"/>
    </x:xf>
    <x:xf numFmtId="201" fontId="6" fillId="5" borderId="12" xfId="0" applyNumberFormat="1" applyFont="1" applyFill="1" applyBorder="1" applyAlignment="1">
      <x:alignment horizontal="center"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7" fillId="5" borderId="0"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201" fontId="7" fillId="5" borderId="13" xfId="0" applyNumberFormat="1" applyFont="1" applyFill="1" applyBorder="1"/>
    <x:xf numFmtId="201" fontId="7" fillId="5" borderId="14" xfId="0" applyNumberFormat="1" applyFont="1" applyFill="1" applyBorder="1"/>
    <x:xf numFmtId="201" fontId="7" fillId="5" borderId="15" xfId="0" applyNumberFormat="1" applyFont="1" applyFill="1" applyBorder="1"/>
    <x:xf numFmtId="201" fontId="7" fillId="5" borderId="16" xfId="0" applyNumberFormat="1" applyFont="1" applyFill="1" applyBorder="1"/>
    <x:xf numFmtId="201" fontId="7" fillId="5" borderId="13" xfId="0" applyNumberFormat="1" applyFont="1" applyFill="1" applyBorder="1" applyAlignment="1">
      <x:alignment horizontal="center"/>
    </x:xf>
    <x:xf numFmtId="201" fontId="7" fillId="5" borderId="14" xfId="0" applyNumberFormat="1" applyFont="1" applyFill="1" applyBorder="1" applyAlignment="1">
      <x:alignment horizontal="center"/>
    </x:xf>
    <x:xf numFmtId="201" fontId="7" fillId="5" borderId="15" xfId="0" applyNumberFormat="1" applyFont="1" applyFill="1" applyBorder="1" applyAlignment="1">
      <x:alignment horizontal="center"/>
    </x:xf>
    <x:xf numFmtId="201" fontId="7" fillId="5" borderId="16" xfId="0" applyNumberFormat="1" applyFont="1" applyFill="1" applyBorder="1" applyAlignment="1">
      <x:alignment horizontal="center"/>
    </x:xf>
    <x:xf numFmtId="201" fontId="7" fillId="5" borderId="13" xfId="0" applyNumberFormat="1" applyFont="1" applyFill="1" applyBorder="1" applyAlignment="1">
      <x:alignment horizontal="center" vertical="center"/>
    </x:xf>
    <x:xf numFmtId="201" fontId="7" fillId="5" borderId="14" xfId="0" applyNumberFormat="1" applyFont="1" applyFill="1" applyBorder="1" applyAlignment="1">
      <x:alignment horizontal="center" vertical="center"/>
    </x:xf>
    <x:xf numFmtId="201" fontId="7" fillId="5" borderId="15" xfId="0" applyNumberFormat="1" applyFont="1" applyFill="1" applyBorder="1" applyAlignment="1">
      <x:alignment horizontal="center" vertical="center"/>
    </x:xf>
    <x:xf numFmtId="201" fontId="7" fillId="5" borderId="16"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0" borderId="17" xfId="0" applyNumberFormat="1" applyFont="1" applyFill="1" applyBorder="1"/>
    <x:xf numFmtId="0" fontId="0" fillId="0" borderId="17" xfId="0" applyNumberFormat="1" applyFont="1" applyFill="1" applyBorder="1" applyAlignment="1">
      <x:alignment horizontal="center"/>
    </x:xf>
    <x:xf numFmtId="0" fontId="0" fillId="10" borderId="17" xfId="0" applyNumberFormat="1" applyFont="1" applyFill="1" applyBorder="1" applyAlignment="1">
      <x:alignment horizontal="center"/>
    </x:xf>
    <x:xf numFmtId="0" fontId="0" fillId="11" borderId="17" xfId="0" applyNumberFormat="1" applyFont="1" applyFill="1" applyBorder="1" applyAlignment="1">
      <x:alignment horizontal="center"/>
    </x:xf>
    <x:xf numFmtId="0" fontId="0" fillId="4" borderId="17" xfId="0" applyNumberFormat="1" applyFont="1" applyFill="1" applyBorder="1" applyAlignment="1">
      <x:alignment horizontal="center"/>
    </x:xf>
    <x:xf numFmtId="0" fontId="0" fillId="12" borderId="17" xfId="0" applyNumberFormat="1" applyFont="1" applyFill="1" applyBorder="1" applyAlignment="1">
      <x:alignment horizontal="center"/>
    </x:xf>
    <x:xf numFmtId="0" fontId="9" fillId="2" borderId="0" xfId="0" applyNumberFormat="1" applyFont="1" applyFill="1" applyBorder="1"/>
    <x:xf numFmtId="0" fontId="9" fillId="2" borderId="0" xfId="0" applyNumberFormat="1" applyFont="1" applyFill="1" applyBorder="1" applyAlignment="1">
      <x:alignment horizontal="center"/>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center"/>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horizontal="center" wrapText="1"/>
    </x:xf>
    <x:xf numFmtId="0" fontId="10" fillId="12" borderId="0" xfId="0" applyNumberFormat="1" applyFont="1" applyFill="1" applyBorder="1" applyAlignment="1">
      <x:alignment horizontal="center" vertical="center" wrapText="1"/>
    </x:xf>
    <x:xf numFmtId="0" fontId="11" fillId="2" borderId="0" xfId="0" applyNumberFormat="1" applyFont="1" applyFill="1" applyBorder="1"/>
    <x:xf numFmtId="0" fontId="11" fillId="2" borderId="0" xfId="0" applyNumberFormat="1" applyFont="1" applyFill="1" applyBorder="1" applyAlignment="1">
      <x:alignment horizontal="center"/>
    </x:xf>
    <x:xf numFmtId="0" fontId="11" fillId="2" borderId="0" xfId="0" applyNumberFormat="1" applyFont="1" applyFill="1" applyBorder="1" applyAlignment="1">
      <x:alignment horizontal="center" vertic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horizontal="center" wrapText="1"/>
    </x:xf>
    <x:xf numFmtId="0" fontId="10" fillId="4" borderId="0" xfId="0" applyNumberFormat="1" applyFont="1" applyFill="1" applyBorder="1" applyAlignment="1">
      <x:alignment horizontal="center" vertical="center" wrapText="1"/>
    </x:xf>
    <x:xf numFmtId="204" fontId="0" fillId="0"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11" borderId="0" xfId="0" applyNumberFormat="1" applyFont="1" applyFill="1" applyBorder="1"/>
    <x:xf numFmtId="0" fontId="12" fillId="11" borderId="0" xfId="0" applyNumberFormat="1" applyFont="1" applyFill="1" applyBorder="1"/>
    <x:xf numFmtId="0" fontId="12" fillId="11" borderId="18" xfId="0" applyNumberFormat="1" applyFont="1" applyFill="1" applyBorder="1"/>
    <x:xf numFmtId="0" fontId="12" fillId="11" borderId="19" xfId="0" applyNumberFormat="1" applyFont="1" applyFill="1" applyBorder="1"/>
    <x:xf numFmtId="0" fontId="12" fillId="11" borderId="20" xfId="0" applyNumberFormat="1" applyFont="1" applyFill="1" applyBorder="1"/>
    <x:xf numFmtId="0" fontId="12" fillId="11" borderId="18" xfId="0" applyNumberFormat="1" applyFont="1" applyFill="1" applyBorder="1" applyAlignment="1">
      <x:alignment wrapText="1"/>
    </x:xf>
    <x:xf numFmtId="0" fontId="12" fillId="11" borderId="19" xfId="0" applyNumberFormat="1" applyFont="1" applyFill="1" applyBorder="1" applyAlignment="1">
      <x:alignment wrapText="1"/>
    </x:xf>
    <x:xf numFmtId="0" fontId="12" fillId="11" borderId="20" xfId="0" applyNumberFormat="1" applyFont="1" applyFill="1" applyBorder="1" applyAlignment="1">
      <x:alignment wrapText="1"/>
    </x:xf>
    <x:xf numFmtId="0" fontId="13" fillId="2" borderId="0" xfId="0" applyNumberFormat="1" applyFont="1" applyFill="1" applyBorder="1"/>
    <x:xf numFmtId="0" fontId="13" fillId="2" borderId="0" xfId="0" applyNumberFormat="1" applyFont="1" applyFill="1" applyBorder="1" applyAlignment="1">
      <x:alignment horizontal="center"/>
    </x:xf>
    <x:xf numFmtId="0" fontId="13" fillId="2" borderId="0" xfId="0" applyNumberFormat="1" applyFont="1" applyFill="1" applyBorder="1" applyAlignment="1">
      <x:alignment horizontal="center" vertical="center"/>
    </x:xf>
    <x:xf numFmtId="0" fontId="1" fillId="3" borderId="21" xfId="0" applyNumberFormat="1" applyFont="1" applyFill="1" applyBorder="1"/>
    <x:xf numFmtId="0" fontId="1" fillId="3" borderId="22" xfId="0" applyNumberFormat="1" applyFont="1" applyFill="1" applyBorder="1"/>
    <x:xf numFmtId="0" fontId="1" fillId="3" borderId="23" xfId="0" applyNumberFormat="1" applyFont="1" applyFill="1" applyBorder="1"/>
    <x:xf numFmtId="0" fontId="1" fillId="3" borderId="21" xfId="0" applyNumberFormat="1" applyFont="1" applyFill="1" applyBorder="1" applyAlignment="1">
      <x:alignment horizontal="center"/>
    </x:xf>
    <x:xf numFmtId="0" fontId="1" fillId="3" borderId="22" xfId="0" applyNumberFormat="1" applyFont="1" applyFill="1" applyBorder="1" applyAlignment="1">
      <x:alignment horizontal="center"/>
    </x:xf>
    <x:xf numFmtId="0" fontId="1" fillId="3" borderId="23" xfId="0" applyNumberFormat="1" applyFont="1" applyFill="1" applyBorder="1" applyAlignment="1">
      <x:alignment horizontal="center"/>
    </x:xf>
    <x:xf numFmtId="0" fontId="1" fillId="3" borderId="21" xfId="0" applyNumberFormat="1" applyFont="1" applyFill="1" applyBorder="1" applyAlignment="1">
      <x:alignment horizontal="center" vertical="center"/>
    </x:xf>
    <x:xf numFmtId="0" fontId="1" fillId="3" borderId="22" xfId="0" applyNumberFormat="1" applyFont="1" applyFill="1" applyBorder="1" applyAlignment="1">
      <x:alignment horizontal="center" vertical="center"/>
    </x:xf>
    <x:xf numFmtId="0" fontId="1" fillId="3" borderId="23" xfId="0" applyNumberFormat="1" applyFont="1" applyFill="1" applyBorder="1" applyAlignment="1">
      <x:alignment horizontal="center" vertical="center"/>
    </x:xf>
    <x:xf numFmtId="0" fontId="14" fillId="5" borderId="0" xfId="0" applyNumberFormat="1" applyFont="1" applyFill="1" applyBorder="1"/>
    <x:xf numFmtId="0" fontId="14" fillId="5" borderId="1" xfId="0" applyNumberFormat="1" applyFont="1" applyFill="1" applyBorder="1"/>
    <x:xf numFmtId="0" fontId="14" fillId="5" borderId="24" xfId="0" applyNumberFormat="1" applyFont="1" applyFill="1" applyBorder="1"/>
    <x:xf numFmtId="0" fontId="14" fillId="5" borderId="2" xfId="0" applyNumberFormat="1" applyFont="1" applyFill="1" applyBorder="1"/>
    <x:xf numFmtId="0" fontId="14" fillId="5" borderId="3" xfId="0" applyNumberFormat="1" applyFont="1" applyFill="1" applyBorder="1"/>
    <x:xf numFmtId="0" fontId="14" fillId="5" borderId="25" xfId="0" applyNumberFormat="1" applyFont="1" applyFill="1" applyBorder="1"/>
    <x:xf numFmtId="0" fontId="14" fillId="5" borderId="4" xfId="0" applyNumberFormat="1" applyFont="1" applyFill="1" applyBorder="1"/>
    <x:xf numFmtId="201" fontId="14" fillId="5" borderId="1" xfId="0" applyNumberFormat="1" applyFont="1" applyFill="1" applyBorder="1"/>
    <x:xf numFmtId="201" fontId="14" fillId="5" borderId="24" xfId="0" applyNumberFormat="1" applyFont="1" applyFill="1" applyBorder="1"/>
    <x:xf numFmtId="201" fontId="14" fillId="5" borderId="2" xfId="0" applyNumberFormat="1" applyFont="1" applyFill="1" applyBorder="1"/>
    <x:xf numFmtId="201" fontId="14" fillId="5" borderId="3" xfId="0" applyNumberFormat="1" applyFont="1" applyFill="1" applyBorder="1"/>
    <x:xf numFmtId="201" fontId="14" fillId="5" borderId="25" xfId="0" applyNumberFormat="1" applyFont="1" applyFill="1" applyBorder="1"/>
    <x:xf numFmtId="201" fontId="14" fillId="5" borderId="4" xfId="0" applyNumberFormat="1" applyFont="1" applyFill="1" applyBorder="1"/>
    <x:xf numFmtId="201" fontId="14" fillId="5" borderId="1" xfId="0" applyNumberFormat="1" applyFont="1" applyFill="1" applyBorder="1" applyAlignment="1">
      <x:alignment horizontal="center"/>
    </x:xf>
    <x:xf numFmtId="201" fontId="14" fillId="5" borderId="24" xfId="0" applyNumberFormat="1" applyFont="1" applyFill="1" applyBorder="1" applyAlignment="1">
      <x:alignment horizontal="center"/>
    </x:xf>
    <x:xf numFmtId="201" fontId="14" fillId="5" borderId="2" xfId="0" applyNumberFormat="1" applyFont="1" applyFill="1" applyBorder="1" applyAlignment="1">
      <x:alignment horizontal="center"/>
    </x:xf>
    <x:xf numFmtId="201" fontId="14" fillId="5" borderId="3" xfId="0" applyNumberFormat="1" applyFont="1" applyFill="1" applyBorder="1" applyAlignment="1">
      <x:alignment horizontal="center"/>
    </x:xf>
    <x:xf numFmtId="201" fontId="14" fillId="5" borderId="25" xfId="0" applyNumberFormat="1" applyFont="1" applyFill="1" applyBorder="1" applyAlignment="1">
      <x:alignment horizontal="center"/>
    </x:xf>
    <x:xf numFmtId="201" fontId="14" fillId="5" borderId="4" xfId="0" applyNumberFormat="1" applyFont="1" applyFill="1" applyBorder="1" applyAlignment="1">
      <x:alignment horizontal="center"/>
    </x:xf>
    <x:xf numFmtId="201" fontId="14" fillId="5" borderId="1" xfId="0" applyNumberFormat="1" applyFont="1" applyFill="1" applyBorder="1" applyAlignment="1">
      <x:alignment horizontal="center" vertical="center"/>
    </x:xf>
    <x:xf numFmtId="201" fontId="14" fillId="5" borderId="24" xfId="0" applyNumberFormat="1" applyFont="1" applyFill="1" applyBorder="1" applyAlignment="1">
      <x:alignment horizontal="center" vertical="center"/>
    </x:xf>
    <x:xf numFmtId="201" fontId="14" fillId="5" borderId="2" xfId="0" applyNumberFormat="1" applyFont="1" applyFill="1" applyBorder="1" applyAlignment="1">
      <x:alignment horizontal="center" vertical="center"/>
    </x:xf>
    <x:xf numFmtId="201" fontId="14" fillId="5" borderId="3" xfId="0" applyNumberFormat="1" applyFont="1" applyFill="1" applyBorder="1" applyAlignment="1">
      <x:alignment horizontal="center" vertical="center"/>
    </x:xf>
    <x:xf numFmtId="201" fontId="14" fillId="5" borderId="25" xfId="0" applyNumberFormat="1" applyFont="1" applyFill="1" applyBorder="1" applyAlignment="1">
      <x:alignment horizontal="center" vertical="center"/>
    </x:xf>
    <x:xf numFmtId="201" fontId="14" fillId="5" borderId="4" xfId="0" applyNumberFormat="1" applyFont="1" applyFill="1" applyBorder="1" applyAlignment="1">
      <x:alignment horizontal="center" vertical="center"/>
    </x:xf>
    <x:xf numFmtId="0" fontId="1" fillId="6" borderId="26" xfId="0" applyNumberFormat="1" applyFont="1" applyFill="1" applyBorder="1"/>
    <x:xf numFmtId="0" fontId="1" fillId="6" borderId="27" xfId="0" applyNumberFormat="1" applyFont="1" applyFill="1" applyBorder="1"/>
    <x:xf numFmtId="0" fontId="1" fillId="6" borderId="28" xfId="0" applyNumberFormat="1" applyFont="1" applyFill="1" applyBorder="1"/>
    <x:xf numFmtId="0" fontId="1" fillId="6" borderId="26" xfId="0" applyNumberFormat="1" applyFont="1" applyFill="1" applyBorder="1" applyAlignment="1">
      <x:alignment horizontal="center"/>
    </x:xf>
    <x:xf numFmtId="0" fontId="1" fillId="6" borderId="27" xfId="0" applyNumberFormat="1" applyFont="1" applyFill="1" applyBorder="1" applyAlignment="1">
      <x:alignment horizontal="center"/>
    </x:xf>
    <x:xf numFmtId="0" fontId="1" fillId="6" borderId="28" xfId="0" applyNumberFormat="1" applyFont="1" applyFill="1" applyBorder="1" applyAlignment="1">
      <x:alignment horizontal="center"/>
    </x:xf>
    <x:xf numFmtId="0" fontId="1" fillId="6" borderId="26" xfId="0" applyNumberFormat="1" applyFont="1" applyFill="1" applyBorder="1" applyAlignment="1">
      <x:alignment horizontal="center" vertical="center"/>
    </x:xf>
    <x:xf numFmtId="0" fontId="1" fillId="6" borderId="27" xfId="0" applyNumberFormat="1" applyFont="1" applyFill="1" applyBorder="1" applyAlignment="1">
      <x:alignment horizontal="center" vertical="center"/>
    </x:xf>
    <x:xf numFmtId="0" fontId="1" fillId="6" borderId="28" xfId="0" applyNumberFormat="1" applyFont="1" applyFill="1" applyBorder="1" applyAlignment="1">
      <x:alignment horizontal="center" vertical="center"/>
    </x:xf>
    <x:xf numFmtId="0" fontId="15" fillId="5" borderId="0" xfId="0" applyNumberFormat="1" applyFont="1" applyFill="1" applyBorder="1"/>
    <x:xf numFmtId="0" fontId="15" fillId="5" borderId="5" xfId="0" applyNumberFormat="1" applyFont="1" applyFill="1" applyBorder="1"/>
    <x:xf numFmtId="0" fontId="15" fillId="5" borderId="29" xfId="0" applyNumberFormat="1" applyFont="1" applyFill="1" applyBorder="1"/>
    <x:xf numFmtId="0" fontId="15" fillId="5" borderId="6" xfId="0" applyNumberFormat="1" applyFont="1" applyFill="1" applyBorder="1"/>
    <x:xf numFmtId="0" fontId="15" fillId="5" borderId="7" xfId="0" applyNumberFormat="1" applyFont="1" applyFill="1" applyBorder="1"/>
    <x:xf numFmtId="0" fontId="15" fillId="5" borderId="30" xfId="0" applyNumberFormat="1" applyFont="1" applyFill="1" applyBorder="1"/>
    <x:xf numFmtId="0" fontId="15" fillId="5" borderId="8" xfId="0" applyNumberFormat="1" applyFont="1" applyFill="1" applyBorder="1"/>
    <x:xf numFmtId="201" fontId="15" fillId="5" borderId="5" xfId="0" applyNumberFormat="1" applyFont="1" applyFill="1" applyBorder="1"/>
    <x:xf numFmtId="201" fontId="15" fillId="5" borderId="29" xfId="0" applyNumberFormat="1" applyFont="1" applyFill="1" applyBorder="1"/>
    <x:xf numFmtId="201" fontId="15" fillId="5" borderId="6" xfId="0" applyNumberFormat="1" applyFont="1" applyFill="1" applyBorder="1"/>
    <x:xf numFmtId="201" fontId="15" fillId="5" borderId="7" xfId="0" applyNumberFormat="1" applyFont="1" applyFill="1" applyBorder="1"/>
    <x:xf numFmtId="201" fontId="15" fillId="5" borderId="30" xfId="0" applyNumberFormat="1" applyFont="1" applyFill="1" applyBorder="1"/>
    <x:xf numFmtId="201" fontId="15" fillId="5" borderId="8" xfId="0" applyNumberFormat="1" applyFont="1" applyFill="1" applyBorder="1"/>
    <x:xf numFmtId="201" fontId="15" fillId="5" borderId="5" xfId="0" applyNumberFormat="1" applyFont="1" applyFill="1" applyBorder="1" applyAlignment="1">
      <x:alignment horizontal="center"/>
    </x:xf>
    <x:xf numFmtId="201" fontId="15" fillId="5" borderId="29" xfId="0" applyNumberFormat="1" applyFont="1" applyFill="1" applyBorder="1" applyAlignment="1">
      <x:alignment horizontal="center"/>
    </x:xf>
    <x:xf numFmtId="201" fontId="15" fillId="5" borderId="6" xfId="0" applyNumberFormat="1" applyFont="1" applyFill="1" applyBorder="1" applyAlignment="1">
      <x:alignment horizontal="center"/>
    </x:xf>
    <x:xf numFmtId="201" fontId="15" fillId="5" borderId="7" xfId="0" applyNumberFormat="1" applyFont="1" applyFill="1" applyBorder="1" applyAlignment="1">
      <x:alignment horizontal="center"/>
    </x:xf>
    <x:xf numFmtId="201" fontId="15" fillId="5" borderId="30" xfId="0" applyNumberFormat="1" applyFont="1" applyFill="1" applyBorder="1" applyAlignment="1">
      <x:alignment horizontal="center"/>
    </x:xf>
    <x:xf numFmtId="201" fontId="15" fillId="5" borderId="8" xfId="0" applyNumberFormat="1" applyFont="1" applyFill="1" applyBorder="1" applyAlignment="1">
      <x:alignment horizontal="center"/>
    </x:xf>
    <x:xf numFmtId="201" fontId="15" fillId="5" borderId="5" xfId="0" applyNumberFormat="1" applyFont="1" applyFill="1" applyBorder="1" applyAlignment="1">
      <x:alignment horizontal="center" vertical="center"/>
    </x:xf>
    <x:xf numFmtId="201" fontId="15" fillId="5" borderId="29" xfId="0" applyNumberFormat="1" applyFont="1" applyFill="1" applyBorder="1" applyAlignment="1">
      <x:alignment horizontal="center" vertical="center"/>
    </x:xf>
    <x:xf numFmtId="201" fontId="15" fillId="5" borderId="6" xfId="0" applyNumberFormat="1" applyFont="1" applyFill="1" applyBorder="1" applyAlignment="1">
      <x:alignment horizontal="center" vertical="center"/>
    </x:xf>
    <x:xf numFmtId="201" fontId="15" fillId="5" borderId="7" xfId="0" applyNumberFormat="1" applyFont="1" applyFill="1" applyBorder="1" applyAlignment="1">
      <x:alignment horizontal="center" vertical="center"/>
    </x:xf>
    <x:xf numFmtId="201" fontId="15" fillId="5" borderId="30" xfId="0" applyNumberFormat="1" applyFont="1" applyFill="1" applyBorder="1" applyAlignment="1">
      <x:alignment horizontal="center" vertical="center"/>
    </x:xf>
    <x:xf numFmtId="201" fontId="15" fillId="5" borderId="8" xfId="0" applyNumberFormat="1" applyFont="1" applyFill="1" applyBorder="1" applyAlignment="1">
      <x:alignment horizontal="center" vertical="center"/>
    </x:xf>
    <x:xf numFmtId="0" fontId="1" fillId="9" borderId="18" xfId="0" applyNumberFormat="1" applyFont="1" applyFill="1" applyBorder="1"/>
    <x:xf numFmtId="0" fontId="1" fillId="9" borderId="19" xfId="0" applyNumberFormat="1" applyFont="1" applyFill="1" applyBorder="1"/>
    <x:xf numFmtId="0" fontId="1" fillId="9" borderId="20" xfId="0" applyNumberFormat="1" applyFont="1" applyFill="1" applyBorder="1"/>
    <x:xf numFmtId="0" fontId="1" fillId="9" borderId="18" xfId="0" applyNumberFormat="1" applyFont="1" applyFill="1" applyBorder="1" applyAlignment="1">
      <x:alignment horizontal="center"/>
    </x:xf>
    <x:xf numFmtId="0" fontId="1" fillId="9" borderId="19" xfId="0" applyNumberFormat="1" applyFont="1" applyFill="1" applyBorder="1" applyAlignment="1">
      <x:alignment horizontal="center"/>
    </x:xf>
    <x:xf numFmtId="0" fontId="1" fillId="9" borderId="20" xfId="0" applyNumberFormat="1" applyFont="1" applyFill="1" applyBorder="1" applyAlignment="1">
      <x:alignment horizontal="center"/>
    </x:xf>
    <x:xf numFmtId="0" fontId="1" fillId="9" borderId="18" xfId="0" applyNumberFormat="1" applyFont="1" applyFill="1" applyBorder="1" applyAlignment="1">
      <x:alignment horizontal="center" vertical="center"/>
    </x:xf>
    <x:xf numFmtId="0" fontId="1" fillId="9" borderId="19" xfId="0" applyNumberFormat="1" applyFont="1" applyFill="1" applyBorder="1" applyAlignment="1">
      <x:alignment horizontal="center" vertical="center"/>
    </x:xf>
    <x:xf numFmtId="0" fontId="1" fillId="9" borderId="20" xfId="0" applyNumberFormat="1" applyFont="1" applyFill="1" applyBorder="1" applyAlignment="1">
      <x:alignment horizontal="center" vertical="center"/>
    </x:xf>
    <x:xf numFmtId="0" fontId="16" fillId="5" borderId="0" xfId="0" applyNumberFormat="1" applyFont="1" applyFill="1" applyBorder="1"/>
    <x:xf numFmtId="0" fontId="16" fillId="5" borderId="31" xfId="0" applyNumberFormat="1" applyFont="1" applyFill="1" applyBorder="1"/>
    <x:xf numFmtId="0" fontId="16" fillId="5" borderId="32" xfId="0" applyNumberFormat="1" applyFont="1" applyFill="1" applyBorder="1"/>
    <x:xf numFmtId="0" fontId="16" fillId="5" borderId="33" xfId="0" applyNumberFormat="1" applyFont="1" applyFill="1" applyBorder="1"/>
    <x:xf numFmtId="0" fontId="16" fillId="5" borderId="34" xfId="0" applyNumberFormat="1" applyFont="1" applyFill="1" applyBorder="1"/>
    <x:xf numFmtId="0" fontId="16" fillId="5" borderId="35" xfId="0" applyNumberFormat="1" applyFont="1" applyFill="1" applyBorder="1"/>
    <x:xf numFmtId="0" fontId="16" fillId="5" borderId="36" xfId="0" applyNumberFormat="1" applyFont="1" applyFill="1" applyBorder="1"/>
    <x:xf numFmtId="201" fontId="16" fillId="5" borderId="31" xfId="0" applyNumberFormat="1" applyFont="1" applyFill="1" applyBorder="1"/>
    <x:xf numFmtId="201" fontId="16" fillId="5" borderId="32" xfId="0" applyNumberFormat="1" applyFont="1" applyFill="1" applyBorder="1"/>
    <x:xf numFmtId="201" fontId="16" fillId="5" borderId="33" xfId="0" applyNumberFormat="1" applyFont="1" applyFill="1" applyBorder="1"/>
    <x:xf numFmtId="201" fontId="16" fillId="5" borderId="34" xfId="0" applyNumberFormat="1" applyFont="1" applyFill="1" applyBorder="1"/>
    <x:xf numFmtId="201" fontId="16" fillId="5" borderId="35" xfId="0" applyNumberFormat="1" applyFont="1" applyFill="1" applyBorder="1"/>
    <x:xf numFmtId="201" fontId="16" fillId="5" borderId="36" xfId="0" applyNumberFormat="1" applyFont="1" applyFill="1" applyBorder="1"/>
    <x:xf numFmtId="201" fontId="16" fillId="5" borderId="31" xfId="0" applyNumberFormat="1" applyFont="1" applyFill="1" applyBorder="1" applyAlignment="1">
      <x:alignment horizontal="center"/>
    </x:xf>
    <x:xf numFmtId="201" fontId="16" fillId="5" borderId="32" xfId="0" applyNumberFormat="1" applyFont="1" applyFill="1" applyBorder="1" applyAlignment="1">
      <x:alignment horizontal="center"/>
    </x:xf>
    <x:xf numFmtId="201" fontId="16" fillId="5" borderId="33" xfId="0" applyNumberFormat="1" applyFont="1" applyFill="1" applyBorder="1" applyAlignment="1">
      <x:alignment horizontal="center"/>
    </x:xf>
    <x:xf numFmtId="201" fontId="16" fillId="5" borderId="34" xfId="0" applyNumberFormat="1" applyFont="1" applyFill="1" applyBorder="1" applyAlignment="1">
      <x:alignment horizontal="center"/>
    </x:xf>
    <x:xf numFmtId="201" fontId="16" fillId="5" borderId="35" xfId="0" applyNumberFormat="1" applyFont="1" applyFill="1" applyBorder="1" applyAlignment="1">
      <x:alignment horizontal="center"/>
    </x:xf>
    <x:xf numFmtId="201" fontId="16" fillId="5" borderId="36" xfId="0" applyNumberFormat="1" applyFont="1" applyFill="1" applyBorder="1" applyAlignment="1">
      <x:alignment horizontal="center"/>
    </x:xf>
    <x:xf numFmtId="201" fontId="16" fillId="5" borderId="31" xfId="0" applyNumberFormat="1" applyFont="1" applyFill="1" applyBorder="1" applyAlignment="1">
      <x:alignment horizontal="center" vertical="center"/>
    </x:xf>
    <x:xf numFmtId="201" fontId="16" fillId="5" borderId="32" xfId="0" applyNumberFormat="1" applyFont="1" applyFill="1" applyBorder="1" applyAlignment="1">
      <x:alignment horizontal="center" vertical="center"/>
    </x:xf>
    <x:xf numFmtId="201" fontId="16" fillId="5" borderId="33" xfId="0" applyNumberFormat="1" applyFont="1" applyFill="1" applyBorder="1" applyAlignment="1">
      <x:alignment horizontal="center" vertical="center"/>
    </x:xf>
    <x:xf numFmtId="201" fontId="16" fillId="5" borderId="34" xfId="0" applyNumberFormat="1" applyFont="1" applyFill="1" applyBorder="1" applyAlignment="1">
      <x:alignment horizontal="center" vertical="center"/>
    </x:xf>
    <x:xf numFmtId="201" fontId="16" fillId="5" borderId="35" xfId="0" applyNumberFormat="1" applyFont="1" applyFill="1" applyBorder="1" applyAlignment="1">
      <x:alignment horizontal="center" vertical="center"/>
    </x:xf>
    <x:xf numFmtId="201" fontId="16" fillId="5" borderId="36" xfId="0" applyNumberFormat="1" applyFont="1" applyFill="1" applyBorder="1" applyAlignment="1">
      <x:alignment horizontal="center" vertical="center"/>
    </x:xf>
    <x:xf numFmtId="0" fontId="1" fillId="7" borderId="37" xfId="0" applyNumberFormat="1" applyFont="1" applyFill="1" applyBorder="1"/>
    <x:xf numFmtId="0" fontId="1" fillId="7" borderId="38" xfId="0" applyNumberFormat="1" applyFont="1" applyFill="1" applyBorder="1"/>
    <x:xf numFmtId="0" fontId="1" fillId="7" borderId="39" xfId="0" applyNumberFormat="1" applyFont="1" applyFill="1" applyBorder="1"/>
    <x:xf numFmtId="0" fontId="1" fillId="7" borderId="37" xfId="0" applyNumberFormat="1" applyFont="1" applyFill="1" applyBorder="1" applyAlignment="1">
      <x:alignment horizontal="center"/>
    </x:xf>
    <x:xf numFmtId="0" fontId="1" fillId="7" borderId="38" xfId="0" applyNumberFormat="1" applyFont="1" applyFill="1" applyBorder="1" applyAlignment="1">
      <x:alignment horizontal="center"/>
    </x:xf>
    <x:xf numFmtId="0" fontId="1" fillId="7" borderId="39" xfId="0" applyNumberFormat="1" applyFont="1" applyFill="1" applyBorder="1" applyAlignment="1">
      <x:alignment horizontal="center"/>
    </x:xf>
    <x:xf numFmtId="0" fontId="1" fillId="7" borderId="37" xfId="0" applyNumberFormat="1" applyFont="1" applyFill="1" applyBorder="1" applyAlignment="1">
      <x:alignment horizontal="center" vertical="center"/>
    </x:xf>
    <x:xf numFmtId="0" fontId="1" fillId="7" borderId="38" xfId="0" applyNumberFormat="1" applyFont="1" applyFill="1" applyBorder="1" applyAlignment="1">
      <x:alignment horizontal="center" vertical="center"/>
    </x:xf>
    <x:xf numFmtId="0" fontId="1" fillId="7" borderId="39" xfId="0" applyNumberFormat="1" applyFont="1" applyFill="1" applyBorder="1" applyAlignment="1">
      <x:alignment horizontal="center" vertical="center"/>
    </x:xf>
    <x:xf numFmtId="0" fontId="17" fillId="5" borderId="0" xfId="0" applyNumberFormat="1" applyFont="1" applyFill="1" applyBorder="1"/>
    <x:xf numFmtId="0" fontId="17" fillId="5" borderId="9" xfId="0" applyNumberFormat="1" applyFont="1" applyFill="1" applyBorder="1"/>
    <x:xf numFmtId="0" fontId="17" fillId="5" borderId="40" xfId="0" applyNumberFormat="1" applyFont="1" applyFill="1" applyBorder="1"/>
    <x:xf numFmtId="0" fontId="17" fillId="5" borderId="10" xfId="0" applyNumberFormat="1" applyFont="1" applyFill="1" applyBorder="1"/>
    <x:xf numFmtId="0" fontId="17" fillId="5" borderId="11" xfId="0" applyNumberFormat="1" applyFont="1" applyFill="1" applyBorder="1"/>
    <x:xf numFmtId="0" fontId="17" fillId="5" borderId="41" xfId="0" applyNumberFormat="1" applyFont="1" applyFill="1" applyBorder="1"/>
    <x:xf numFmtId="0" fontId="17" fillId="5" borderId="12" xfId="0" applyNumberFormat="1" applyFont="1" applyFill="1" applyBorder="1"/>
    <x:xf numFmtId="201" fontId="17" fillId="5" borderId="9" xfId="0" applyNumberFormat="1" applyFont="1" applyFill="1" applyBorder="1"/>
    <x:xf numFmtId="201" fontId="17" fillId="5" borderId="40" xfId="0" applyNumberFormat="1" applyFont="1" applyFill="1" applyBorder="1"/>
    <x:xf numFmtId="201" fontId="17" fillId="5" borderId="10" xfId="0" applyNumberFormat="1" applyFont="1" applyFill="1" applyBorder="1"/>
    <x:xf numFmtId="201" fontId="17" fillId="5" borderId="11" xfId="0" applyNumberFormat="1" applyFont="1" applyFill="1" applyBorder="1"/>
    <x:xf numFmtId="201" fontId="17" fillId="5" borderId="41" xfId="0" applyNumberFormat="1" applyFont="1" applyFill="1" applyBorder="1"/>
    <x:xf numFmtId="201" fontId="17" fillId="5" borderId="12" xfId="0" applyNumberFormat="1" applyFont="1" applyFill="1" applyBorder="1"/>
    <x:xf numFmtId="201" fontId="17" fillId="5" borderId="9" xfId="0" applyNumberFormat="1" applyFont="1" applyFill="1" applyBorder="1" applyAlignment="1">
      <x:alignment horizontal="center"/>
    </x:xf>
    <x:xf numFmtId="201" fontId="17" fillId="5" borderId="40" xfId="0" applyNumberFormat="1" applyFont="1" applyFill="1" applyBorder="1" applyAlignment="1">
      <x:alignment horizontal="center"/>
    </x:xf>
    <x:xf numFmtId="201" fontId="17" fillId="5" borderId="10" xfId="0" applyNumberFormat="1" applyFont="1" applyFill="1" applyBorder="1" applyAlignment="1">
      <x:alignment horizontal="center"/>
    </x:xf>
    <x:xf numFmtId="201" fontId="17" fillId="5" borderId="11" xfId="0" applyNumberFormat="1" applyFont="1" applyFill="1" applyBorder="1" applyAlignment="1">
      <x:alignment horizontal="center"/>
    </x:xf>
    <x:xf numFmtId="201" fontId="17" fillId="5" borderId="41" xfId="0" applyNumberFormat="1" applyFont="1" applyFill="1" applyBorder="1" applyAlignment="1">
      <x:alignment horizontal="center"/>
    </x:xf>
    <x:xf numFmtId="201" fontId="17" fillId="5" borderId="12" xfId="0" applyNumberFormat="1" applyFont="1" applyFill="1" applyBorder="1" applyAlignment="1">
      <x:alignment horizontal="center"/>
    </x:xf>
    <x:xf numFmtId="201" fontId="17" fillId="5" borderId="9" xfId="0" applyNumberFormat="1" applyFont="1" applyFill="1" applyBorder="1" applyAlignment="1">
      <x:alignment horizontal="center" vertical="center"/>
    </x:xf>
    <x:xf numFmtId="201" fontId="17" fillId="5" borderId="40" xfId="0" applyNumberFormat="1" applyFont="1" applyFill="1" applyBorder="1" applyAlignment="1">
      <x:alignment horizontal="center" vertical="center"/>
    </x:xf>
    <x:xf numFmtId="201" fontId="17" fillId="5" borderId="10" xfId="0" applyNumberFormat="1" applyFont="1" applyFill="1" applyBorder="1" applyAlignment="1">
      <x:alignment horizontal="center" vertical="center"/>
    </x:xf>
    <x:xf numFmtId="201" fontId="17" fillId="5" borderId="11" xfId="0" applyNumberFormat="1" applyFont="1" applyFill="1" applyBorder="1" applyAlignment="1">
      <x:alignment horizontal="center" vertical="center"/>
    </x:xf>
    <x:xf numFmtId="201" fontId="17" fillId="5" borderId="41" xfId="0" applyNumberFormat="1" applyFont="1" applyFill="1" applyBorder="1" applyAlignment="1">
      <x:alignment horizontal="center" vertical="center"/>
    </x:xf>
    <x:xf numFmtId="201" fontId="17" fillId="5" borderId="12" xfId="0" applyNumberFormat="1" applyFont="1" applyFill="1" applyBorder="1" applyAlignment="1">
      <x:alignment horizontal="center" vertical="center"/>
    </x:xf>
    <x:xf numFmtId="0" fontId="10" fillId="12" borderId="42" xfId="0" applyNumberFormat="1" applyFont="1" applyFill="1" applyBorder="1"/>
    <x:xf numFmtId="0" fontId="10" fillId="12" borderId="43" xfId="0" applyNumberFormat="1" applyFont="1" applyFill="1" applyBorder="1"/>
    <x:xf numFmtId="0" fontId="10" fillId="12" borderId="44" xfId="0" applyNumberFormat="1" applyFont="1" applyFill="1" applyBorder="1"/>
    <x:xf numFmtId="0" fontId="0" fillId="0" borderId="45" xfId="0" applyNumberFormat="1" applyFont="1" applyFill="1" applyBorder="1"/>
    <x:xf numFmtId="200" fontId="0" fillId="0" borderId="17" xfId="0" applyNumberFormat="1" applyFont="1" applyFill="1" applyBorder="1"/>
    <x:xf numFmtId="200" fontId="0" fillId="0" borderId="46" xfId="0" applyNumberFormat="1" applyFont="1" applyFill="1" applyBorder="1"/>
    <x:xf numFmtId="0" fontId="0" fillId="0" borderId="47" xfId="0" applyNumberFormat="1" applyFont="1" applyFill="1" applyBorder="1"/>
    <x:xf numFmtId="200" fontId="0" fillId="0" borderId="48" xfId="0" applyNumberFormat="1" applyFont="1" applyFill="1" applyBorder="1"/>
    <x:xf numFmtId="200" fontId="0" fillId="0" borderId="49" xfId="0" applyNumberFormat="1" applyFont="1" applyFill="1" applyBorder="1"/>
    <x:xf numFmtId="0" fontId="18" fillId="11" borderId="0" xfId="0" applyNumberFormat="1" applyFont="1" applyFill="1" applyBorder="1"/>
    <x:xf numFmtId="0" fontId="18" fillId="11" borderId="31" xfId="0" applyNumberFormat="1" applyFont="1" applyFill="1" applyBorder="1"/>
    <x:xf numFmtId="0" fontId="18" fillId="11" borderId="32" xfId="0" applyNumberFormat="1" applyFont="1" applyFill="1" applyBorder="1"/>
    <x:xf numFmtId="0" fontId="18" fillId="11" borderId="33" xfId="0" applyNumberFormat="1" applyFont="1" applyFill="1" applyBorder="1"/>
    <x:xf numFmtId="0" fontId="18" fillId="11" borderId="50" xfId="0" applyNumberFormat="1" applyFont="1" applyFill="1" applyBorder="1"/>
    <x:xf numFmtId="0" fontId="18" fillId="11" borderId="51" xfId="0" applyNumberFormat="1" applyFont="1" applyFill="1" applyBorder="1"/>
    <x:xf numFmtId="0" fontId="18" fillId="11" borderId="34" xfId="0" applyNumberFormat="1" applyFont="1" applyFill="1" applyBorder="1"/>
    <x:xf numFmtId="0" fontId="18" fillId="11" borderId="35" xfId="0" applyNumberFormat="1" applyFont="1" applyFill="1" applyBorder="1"/>
    <x:xf numFmtId="0" fontId="18" fillId="11" borderId="36" xfId="0" applyNumberFormat="1" applyFont="1" applyFill="1" applyBorder="1"/>
    <x:xf numFmtId="0" fontId="18" fillId="11" borderId="31" xfId="0" applyNumberFormat="1" applyFont="1" applyFill="1" applyBorder="1" applyAlignment="1">
      <x:alignment wrapText="1"/>
    </x:xf>
    <x:xf numFmtId="0" fontId="18" fillId="11" borderId="32" xfId="0" applyNumberFormat="1" applyFont="1" applyFill="1" applyBorder="1" applyAlignment="1">
      <x:alignment wrapText="1"/>
    </x:xf>
    <x:xf numFmtId="0" fontId="18" fillId="11" borderId="33" xfId="0" applyNumberFormat="1" applyFont="1" applyFill="1" applyBorder="1" applyAlignment="1">
      <x:alignment wrapText="1"/>
    </x:xf>
    <x:xf numFmtId="0" fontId="18" fillId="11" borderId="50" xfId="0" applyNumberFormat="1" applyFont="1" applyFill="1" applyBorder="1" applyAlignment="1">
      <x:alignment wrapText="1"/>
    </x:xf>
    <x:xf numFmtId="0" fontId="18" fillId="11" borderId="0" xfId="0" applyNumberFormat="1" applyFont="1" applyFill="1" applyBorder="1" applyAlignment="1">
      <x:alignment wrapText="1"/>
    </x:xf>
    <x:xf numFmtId="0" fontId="18" fillId="11" borderId="51" xfId="0" applyNumberFormat="1" applyFont="1" applyFill="1" applyBorder="1" applyAlignment="1">
      <x:alignment wrapText="1"/>
    </x:xf>
    <x:xf numFmtId="0" fontId="18" fillId="11" borderId="34" xfId="0" applyNumberFormat="1" applyFont="1" applyFill="1" applyBorder="1" applyAlignment="1">
      <x:alignment wrapText="1"/>
    </x:xf>
    <x:xf numFmtId="0" fontId="18" fillId="11" borderId="35" xfId="0" applyNumberFormat="1" applyFont="1" applyFill="1" applyBorder="1" applyAlignment="1">
      <x:alignment wrapText="1"/>
    </x:xf>
    <x:xf numFmtId="0" fontId="18" fillId="11" borderId="36" xfId="0" applyNumberFormat="1" applyFont="1" applyFill="1" applyBorder="1" applyAlignment="1">
      <x:alignment wrapText="1"/>
    </x:xf>
    <x:xf numFmtId="0" fontId="18" fillId="11" borderId="31" xfId="0" applyNumberFormat="1" applyFont="1" applyFill="1" applyBorder="1" applyAlignment="1">
      <x:alignment vertical="top" wrapText="1"/>
    </x:xf>
    <x:xf numFmtId="0" fontId="18" fillId="11" borderId="32" xfId="0" applyNumberFormat="1" applyFont="1" applyFill="1" applyBorder="1" applyAlignment="1">
      <x:alignment vertical="top" wrapText="1"/>
    </x:xf>
    <x:xf numFmtId="0" fontId="18" fillId="11" borderId="33" xfId="0" applyNumberFormat="1" applyFont="1" applyFill="1" applyBorder="1" applyAlignment="1">
      <x:alignment vertical="top" wrapText="1"/>
    </x:xf>
    <x:xf numFmtId="0" fontId="18" fillId="11" borderId="50" xfId="0" applyNumberFormat="1" applyFont="1" applyFill="1" applyBorder="1" applyAlignment="1">
      <x:alignment vertical="top" wrapText="1"/>
    </x:xf>
    <x:xf numFmtId="0" fontId="18" fillId="11" borderId="0" xfId="0" applyNumberFormat="1" applyFont="1" applyFill="1" applyBorder="1" applyAlignment="1">
      <x:alignment vertical="top" wrapText="1"/>
    </x:xf>
    <x:xf numFmtId="0" fontId="18" fillId="11" borderId="51" xfId="0" applyNumberFormat="1" applyFont="1" applyFill="1" applyBorder="1" applyAlignment="1">
      <x:alignment vertical="top" wrapText="1"/>
    </x:xf>
    <x:xf numFmtId="0" fontId="18" fillId="11" borderId="34" xfId="0" applyNumberFormat="1" applyFont="1" applyFill="1" applyBorder="1" applyAlignment="1">
      <x:alignment vertical="top" wrapText="1"/>
    </x:xf>
    <x:xf numFmtId="0" fontId="18" fillId="11" borderId="35" xfId="0" applyNumberFormat="1" applyFont="1" applyFill="1" applyBorder="1" applyAlignment="1">
      <x:alignment vertical="top" wrapText="1"/>
    </x:xf>
    <x:xf numFmtId="0" fontId="18" fillId="11" borderId="36" xfId="0" applyNumberFormat="1" applyFont="1" applyFill="1" applyBorder="1" applyAlignment="1">
      <x:alignment vertical="top" wrapText="1"/>
    </x:xf>
    <x:xf numFmtId="0" fontId="0" fillId="17" borderId="0" xfId="0" applyNumberFormat="1" applyFont="1" applyFill="1" applyBorder="1"/>
    <x:xf numFmtId="0" fontId="19" fillId="17" borderId="0" xfId="0" applyNumberFormat="1" applyFont="1" applyFill="1" applyBorder="1"/>
    <x:xf numFmtId="0" fontId="19" fillId="17" borderId="37" xfId="0" applyNumberFormat="1" applyFont="1" applyFill="1" applyBorder="1"/>
    <x:xf numFmtId="0" fontId="19" fillId="17" borderId="38" xfId="0" applyNumberFormat="1" applyFont="1" applyFill="1" applyBorder="1"/>
    <x:xf numFmtId="0" fontId="19" fillId="17" borderId="39" xfId="0" applyNumberFormat="1" applyFont="1" applyFill="1" applyBorder="1"/>
    <x:xf numFmtId="0" fontId="19" fillId="17" borderId="37" xfId="0" applyNumberFormat="1" applyFont="1" applyFill="1" applyBorder="1" applyAlignment="1">
      <x:alignment wrapText="1"/>
    </x:xf>
    <x:xf numFmtId="0" fontId="19" fillId="17" borderId="38" xfId="0" applyNumberFormat="1" applyFont="1" applyFill="1" applyBorder="1" applyAlignment="1">
      <x:alignment wrapText="1"/>
    </x:xf>
    <x:xf numFmtId="0" fontId="19" fillId="17" borderId="39" xfId="0" applyNumberFormat="1" applyFont="1" applyFill="1" applyBorder="1" applyAlignment="1">
      <x:alignment wrapText="1"/>
    </x:xf>
  </x:cellXfs>
  <x:cellStyles count="1">
    <x:cellStyle name="Normal" xfId="0"/>
  </x:cellStyles>
  <x:dxfs count="49">
    <x:dxf>
      <x:font>
        <x:b/>
        <x:color rgb="FF2E7D32"/>
      </x:font>
      <x:fill>
        <x:patternFill patternType="solid">
          <x:bgColor rgb="FFE6F4EA"/>
        </x:patternFill>
      </x:fill>
    </x:dxf>
    <x:dxf>
      <x:font>
        <x:b/>
        <x:color rgb="FFD97706"/>
      </x:font>
      <x:fill>
        <x:patternFill patternType="solid">
          <x:bgColor rgb="FFFFF2D8"/>
        </x:patternFill>
      </x:fill>
    </x:dxf>
    <x:dxf>
      <x:font>
        <x:b/>
        <x:color rgb="FF2E7D32"/>
      </x:font>
      <x:fill>
        <x:patternFill patternType="solid">
          <x:bgColor rgb="FFE6F4EA"/>
        </x:patternFill>
      </x:fill>
    </x:dxf>
    <x:dxf>
      <x:font>
        <x:color rgb="FF5B6573"/>
      </x:font>
      <x:fill>
        <x:patternFill patternType="solid">
          <x:bgColor rgb="FFF2F4F7"/>
        </x:patternFill>
      </x:fill>
    </x:dxf>
    <x:dxf>
      <x:font>
        <x:b/>
        <x:color rgb="FF2E7D32"/>
      </x:font>
      <x:fill>
        <x:patternFill patternType="solid">
          <x:bgColor rgb="FFE6F4EA"/>
        </x:patternFill>
      </x:fill>
    </x:dxf>
    <x:dxf>
      <x:font>
        <x:b/>
        <x:color rgb="FFD97706"/>
      </x:font>
      <x:fill>
        <x:patternFill patternType="solid">
          <x:bgColor rgb="FFFFF2D8"/>
        </x:patternFill>
      </x:fill>
    </x:dxf>
    <x:dxf>
      <x:font>
        <x:b/>
        <x:color rgb="FFB42318"/>
      </x:font>
      <x:fill>
        <x:patternFill patternType="solid">
          <x:bgColor rgb="FFFDE8E7"/>
        </x:patternFill>
      </x:fill>
    </x:dxf>
    <x:dxf>
      <x:font>
        <x:color rgb="FF5B6573"/>
      </x:font>
      <x:fill>
        <x:patternFill patternType="solid">
          <x:bgColor rgb="FFF2F4F7"/>
        </x:patternFill>
      </x:fill>
    </x:dxf>
    <x:dxf>
      <x:font>
        <x:b/>
        <x:color rgb="FF2E7D32"/>
      </x:font>
      <x:fill>
        <x:patternFill patternType="solid">
          <x:bgColor rgb="FFE6F4EA"/>
        </x:patternFill>
      </x:fill>
    </x:dxf>
    <x:dxf>
      <x:font>
        <x:color rgb="FF5B6573"/>
      </x:font>
      <x:fill>
        <x:patternFill patternType="solid">
          <x:bgColor rgb="FFF2F4F7"/>
        </x:patternFill>
      </x:fill>
    </x:dxf>
    <x:dxf>
      <x:font>
        <x:b/>
        <x:color rgb="FF2E7D32"/>
      </x:font>
      <x:fill>
        <x:patternFill patternType="solid">
          <x:bgColor rgb="FFE6F4EA"/>
        </x:patternFill>
      </x:fill>
    </x:dxf>
    <x:dxf>
      <x:font>
        <x:color rgb="FF5B6573"/>
      </x:font>
      <x:fill>
        <x:patternFill patternType="solid">
          <x:bgColor rgb="FFF2F4F7"/>
        </x:patternFill>
      </x:fill>
    </x:dxf>
    <x:dxf>
      <x:font>
        <x:b/>
        <x:color rgb="FF2E7D32"/>
      </x:font>
      <x:fill>
        <x:patternFill patternType="solid">
          <x:bgColor rgb="FFE6F4EA"/>
        </x:patternFill>
      </x:fill>
    </x:dxf>
    <x:dxf>
      <x:font>
        <x:color rgb="FF5B6573"/>
      </x:font>
      <x:fill>
        <x:patternFill patternType="solid">
          <x:bgColor rgb="FFF2F4F7"/>
        </x:patternFill>
      </x:fill>
    </x:dxf>
    <x:dxf>
      <x:font>
        <x:b/>
        <x:color rgb="FF2E7D32"/>
      </x:font>
      <x:fill>
        <x:patternFill patternType="solid">
          <x:bgColor rgb="FFE6F4EA"/>
        </x:patternFill>
      </x:fill>
    </x:dxf>
    <x:dxf>
      <x:font>
        <x:color rgb="FF5B6573"/>
      </x:font>
      <x:fill>
        <x:patternFill patternType="solid">
          <x:bgColor rgb="FFF2F4F7"/>
        </x:patternFill>
      </x:fill>
    </x:dxf>
    <x:dxf>
      <x:font>
        <x:b/>
        <x:color rgb="FF2E7D32"/>
      </x:font>
      <x:fill>
        <x:patternFill patternType="solid">
          <x:bgColor rgb="FFE6F4EA"/>
        </x:patternFill>
      </x:fill>
    </x:dxf>
    <x:dxf>
      <x:font>
        <x:color rgb="FF5B6573"/>
      </x:font>
      <x:fill>
        <x:patternFill patternType="solid">
          <x:bgColor rgb="FFF2F4F7"/>
        </x:patternFill>
      </x:fill>
    </x:dxf>
    <x:dxf>
      <x:font>
        <x:b/>
        <x:color rgb="FF2E7D32"/>
      </x:font>
      <x:fill>
        <x:patternFill patternType="solid">
          <x:bgColor rgb="FFE6F4EA"/>
        </x:patternFill>
      </x:fill>
    </x:dxf>
    <x:dxf>
      <x:font>
        <x:color rgb="FF5B6573"/>
      </x:font>
      <x:fill>
        <x:patternFill patternType="solid">
          <x:bgColor rgb="FFF2F4F7"/>
        </x:patternFill>
      </x:fill>
    </x:dxf>
    <x:dxf>
      <x:font>
        <x:b/>
        <x:color rgb="FF2E7D32"/>
      </x:font>
      <x:fill>
        <x:patternFill patternType="solid">
          <x:bgColor rgb="FFE6F4EA"/>
        </x:patternFill>
      </x:fill>
    </x:dxf>
    <x:dxf>
      <x:font>
        <x:b/>
        <x:color rgb="FFD97706"/>
      </x:font>
      <x:fill>
        <x:patternFill patternType="solid">
          <x:bgColor rgb="FFFFF2D8"/>
        </x:patternFill>
      </x:fill>
    </x:dxf>
    <x:dxf>
      <x:font>
        <x:b/>
        <x:color rgb="FF2563EB"/>
      </x:font>
      <x:fill>
        <x:patternFill patternType="solid">
          <x:bgColor rgb="FFEAF1F8"/>
        </x:patternFill>
      </x:fill>
    </x:dxf>
    <x:dxf>
      <x:font>
        <x:color rgb="FF5B6573"/>
      </x:font>
      <x:fill>
        <x:patternFill patternType="solid">
          <x:bgColor rgb="FFF2F4F7"/>
        </x:patternFill>
      </x:fill>
    </x:dxf>
    <x:dxf>
      <x:font>
        <x:b/>
        <x:color rgb="FF2E7D32"/>
      </x:font>
      <x:fill>
        <x:patternFill patternType="solid">
          <x:bgColor rgb="FFE6F4EA"/>
        </x:patternFill>
      </x:fill>
    </x:dxf>
    <x:dxf>
      <x:font>
        <x:b/>
        <x:color rgb="FFD97706"/>
      </x:font>
      <x:fill>
        <x:patternFill patternType="solid">
          <x:bgColor rgb="FFFFF2D8"/>
        </x:patternFill>
      </x:fill>
    </x:dxf>
    <x:dxf>
      <x:font>
        <x:b/>
        <x:color rgb="FF2563EB"/>
      </x:font>
      <x:fill>
        <x:patternFill patternType="solid">
          <x:bgColor rgb="FFEAF1F8"/>
        </x:patternFill>
      </x:fill>
    </x:dxf>
    <x:dxf>
      <x:font>
        <x:color rgb="FF5B6573"/>
      </x:font>
      <x:fill>
        <x:patternFill patternType="solid">
          <x:bgColor rgb="FFF2F4F7"/>
        </x:patternFill>
      </x:fill>
    </x:dxf>
    <x:dxf>
      <x:font>
        <x:b/>
        <x:color rgb="FF2E7D32"/>
      </x:font>
      <x:fill>
        <x:patternFill patternType="solid">
          <x:bgColor rgb="FFE6F4EA"/>
        </x:patternFill>
      </x:fill>
    </x:dxf>
    <x:dxf>
      <x:font>
        <x:b/>
        <x:color rgb="FFD97706"/>
      </x:font>
      <x:fill>
        <x:patternFill patternType="solid">
          <x:bgColor rgb="FFFFF2D8"/>
        </x:patternFill>
      </x:fill>
    </x:dxf>
    <x:dxf>
      <x:font>
        <x:b/>
        <x:color rgb="FF2563EB"/>
      </x:font>
      <x:fill>
        <x:patternFill patternType="solid">
          <x:bgColor rgb="FFEAF1F8"/>
        </x:patternFill>
      </x:fill>
    </x:dxf>
    <x:dxf>
      <x:font>
        <x:color rgb="FF5B6573"/>
      </x:font>
      <x:fill>
        <x:patternFill patternType="solid">
          <x:bgColor rgb="FFF2F4F7"/>
        </x:patternFill>
      </x:fill>
    </x:dxf>
    <x:dxf>
      <x:font>
        <x:b/>
        <x:color rgb="FF2E7D32"/>
      </x:font>
      <x:fill>
        <x:patternFill patternType="solid">
          <x:bgColor rgb="FFE6F4EA"/>
        </x:patternFill>
      </x:fill>
    </x:dxf>
    <x:dxf>
      <x:font>
        <x:b/>
        <x:color rgb="FFD97706"/>
      </x:font>
      <x:fill>
        <x:patternFill patternType="solid">
          <x:bgColor rgb="FFFFF2D8"/>
        </x:patternFill>
      </x:fill>
    </x:dxf>
    <x:dxf>
      <x:font>
        <x:b/>
        <x:color rgb="FF2563EB"/>
      </x:font>
      <x:fill>
        <x:patternFill patternType="solid">
          <x:bgColor rgb="FFEAF1F8"/>
        </x:patternFill>
      </x:fill>
    </x:dxf>
    <x:dxf>
      <x:font>
        <x:color rgb="FF5B6573"/>
      </x:font>
      <x:fill>
        <x:patternFill patternType="solid">
          <x:bgColor rgb="FFF2F4F7"/>
        </x:patternFill>
      </x:fill>
    </x:dxf>
    <x:dxf>
      <x:font>
        <x:b/>
        <x:color rgb="FF2E7D32"/>
      </x:font>
      <x:fill>
        <x:patternFill patternType="solid">
          <x:bgColor rgb="FFE6F4EA"/>
        </x:patternFill>
      </x:fill>
    </x:dxf>
    <x:dxf>
      <x:font>
        <x:b/>
        <x:color rgb="FFD97706"/>
      </x:font>
      <x:fill>
        <x:patternFill patternType="solid">
          <x:bgColor rgb="FFFFF2D8"/>
        </x:patternFill>
      </x:fill>
    </x:dxf>
    <x:dxf>
      <x:font>
        <x:b/>
        <x:color rgb="FF2563EB"/>
      </x:font>
      <x:fill>
        <x:patternFill patternType="solid">
          <x:bgColor rgb="FFEAF1F8"/>
        </x:patternFill>
      </x:fill>
    </x:dxf>
    <x:dxf>
      <x:font>
        <x:color rgb="FF5B6573"/>
      </x:font>
      <x:fill>
        <x:patternFill patternType="solid">
          <x:bgColor rgb="FFF2F4F7"/>
        </x:patternFill>
      </x:fill>
    </x:dxf>
    <x:dxf>
      <x:font>
        <x:b/>
        <x:color rgb="FF2E7D32"/>
      </x:font>
      <x:fill>
        <x:patternFill patternType="solid">
          <x:bgColor rgb="FFE6F4EA"/>
        </x:patternFill>
      </x:fill>
    </x:dxf>
    <x:dxf>
      <x:font>
        <x:b/>
        <x:color rgb="FFD97706"/>
      </x:font>
      <x:fill>
        <x:patternFill patternType="solid">
          <x:bgColor rgb="FFFFF2D8"/>
        </x:patternFill>
      </x:fill>
    </x:dxf>
    <x:dxf>
      <x:font>
        <x:b/>
        <x:color rgb="FF2563EB"/>
      </x:font>
      <x:fill>
        <x:patternFill patternType="solid">
          <x:bgColor rgb="FFEAF1F8"/>
        </x:patternFill>
      </x:fill>
    </x:dxf>
    <x:dxf>
      <x:font>
        <x:color rgb="FF5B6573"/>
      </x:font>
      <x:fill>
        <x:patternFill patternType="solid">
          <x:bgColor rgb="FFF2F4F7"/>
        </x:patternFill>
      </x:fill>
    </x:dxf>
    <x:dxf>
      <x:font>
        <x:b/>
        <x:color rgb="FF2E7D32"/>
      </x:font>
      <x:fill>
        <x:patternFill patternType="solid">
          <x:bgColor rgb="FFE6F4EA"/>
        </x:patternFill>
      </x:fill>
    </x:dxf>
    <x:dxf>
      <x:font>
        <x:b/>
        <x:color rgb="FFD97706"/>
      </x:font>
      <x:fill>
        <x:patternFill patternType="solid">
          <x:bgColor rgb="FFFFF2D8"/>
        </x:patternFill>
      </x:fill>
    </x:dxf>
    <x:dxf>
      <x:font>
        <x:color rgb="FFB42318"/>
      </x:font>
      <x:fill>
        <x:patternFill patternType="solid">
          <x:bgColor rgb="FFFDE8E7"/>
        </x:patternFill>
      </x:fill>
    </x:dxf>
    <x:dxf>
      <x:font>
        <x:b/>
        <x:color rgb="FF2E7D32"/>
      </x:font>
      <x:fill>
        <x:patternFill patternType="solid">
          <x:bgColor rgb="FFE6F4EA"/>
        </x:patternFill>
      </x:fill>
    </x:dxf>
    <x:dxf>
      <x:font>
        <x:color rgb="FF5B6573"/>
      </x:font>
      <x:fill>
        <x:patternFill patternType="solid">
          <x:bgColor rgb="FFF2F4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e575ed92e64818" /><Relationship Type="http://schemas.openxmlformats.org/officeDocument/2006/relationships/theme" Target="/xl/theme/theme1.xml" Id="R2f11a3e4170f4ae4" /><Relationship Type="http://schemas.openxmlformats.org/officeDocument/2006/relationships/sharedStrings" Target="/xl/sharedStrings.xml" Id="Re2b85c3bd48946ea" /><Relationship Type="http://schemas.openxmlformats.org/officeDocument/2006/relationships/worksheet" Target="/xl/worksheets/sheet1.xml" Id="R8e5be2bc552f4f1e" /><Relationship Type="http://schemas.openxmlformats.org/officeDocument/2006/relationships/worksheet" Target="/xl/worksheets/sheet2.xml" Id="Ra95c5b6258f0414c" /><Relationship Type="http://schemas.openxmlformats.org/officeDocument/2006/relationships/worksheet" Target="/xl/worksheets/sheet3.xml" Id="R5392d763f3f14d75" /><Relationship Type="http://schemas.openxmlformats.org/officeDocument/2006/relationships/worksheet" Target="/xl/worksheets/sheet4.xml" Id="R73eca2c142c8480f" /><Relationship Type="http://schemas.openxmlformats.org/officeDocument/2006/relationships/worksheet" Target="/xl/worksheets/sheet5.xml" Id="Rea9ed2484be143a1" /><Relationship Type="http://schemas.openxmlformats.org/officeDocument/2006/relationships/worksheet" Target="/xl/worksheets/sheet6.xml" Id="Re16ead7de3814a36" /><Relationship Type="http://schemas.openxmlformats.org/officeDocument/2006/relationships/worksheet" Target="/xl/worksheets/sheet7.xml" Id="Rae3a4bb178774aea" /><Relationship Type="http://schemas.openxmlformats.org/officeDocument/2006/relationships/worksheet" Target="/xl/worksheets/sheet8.xml" Id="R910c73c93d5c4d9b" /></Relationships>
</file>

<file path=xl/drawings/_rels/drawing1.xml.rels>&#65279;<?xml version="1.0" encoding="utf-8"?><Relationships xmlns="http://schemas.openxmlformats.org/package/2006/relationships"><Relationship Type="http://schemas.openxmlformats.org/officeDocument/2006/relationships/chart" Target="/xl/drawings/charts/chart1.xml" Id="R1c9f70f7ddb348c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관련 소견 유무에 따른 미언급 타깃 양성률</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A=1일 때</c:v>
          </c:tx>
          <c:cat>
            <c:strRef>
              <c:f>'요약'!$A$12:$A$17</c:f>
              <c:strCache>
                <c:ptCount val="0"/>
              </c:strCache>
            </c:strRef>
          </c:cat>
          <c:val>
            <c:numRef>
              <c:f>'요약'!$B$12:$B$17</c:f>
              <c:numCache>
                <c:formatCode>0.0%</c:formatCode>
                <c:ptCount val="0"/>
              </c:numCache>
            </c:numRef>
          </c:val>
        </c:ser>
        <c:ser>
          <c:idx val="1"/>
          <c:order val="1"/>
          <c:tx>
            <c:v>A=0일 때</c:v>
          </c:tx>
          <c:cat>
            <c:strRef>
              <c:f>'요약'!$A$12:$A$17</c:f>
              <c:strCache>
                <c:ptCount val="0"/>
              </c:strCache>
            </c:strRef>
          </c:cat>
          <c:val>
            <c:numRef>
              <c:f>'요약'!$C$12:$C$17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8</xdr:row>
      <xdr:rowOff>0</xdr:rowOff>
    </xdr:from>
    <xdr:to>
      <xdr:col>13</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9f70f7ddb348c1"/>
        </a:graphicData>
      </a:graphic>
    </xdr:graphicFrame>
    <xdr:clientData/>
  </xdr:twoCellAnchor>
</xdr:wsDr>
</file>

<file path=xl/tables/table1.xml><?xml version="1.0" encoding="utf-8"?>
<x:table xmlns:x="http://schemas.openxmlformats.org/spreadsheetml/2006/main" id="3" name="LlmGoldSummaryTable" displayName="LlmGoldSummaryTable" ref="A5:J17" headerRowCount="1" totalsRowCount="0" totalsRowShown="0">
  <x:tableColumns count="10">
    <x:tableColumn id="1" name="타깃"/>
    <x:tableColumn id="2" name="원본 1"/>
    <x:tableColumn id="3" name="LLM 1"/>
    <x:tableColumn id="4" name="비교 가능"/>
    <x:tableColumn id="5" name="일치"/>
    <x:tableColumn id="6" name="불일치"/>
    <x:tableColumn id="7" name="일치율"/>
    <x:tableColumn id="8" name="0→1"/>
    <x:tableColumn id="9" name="1→0"/>
    <x:tableColumn id="10" name="판정없음"/>
  </x:tableColumns>
  <x:tableStyleInfo name="TableStyleMedium4" showFirstColumn="0" showLastColumn="0" showRowStripes="1" showColumnStripes="0"/>
</x:table>
</file>

<file path=xl/tables/table2.xml><?xml version="1.0" encoding="utf-8"?>
<x:table xmlns:x="http://schemas.openxmlformats.org/spreadsheetml/2006/main" id="4" name="LlmGoldDetailTable" displayName="LlmGoldDetailTable" ref="A20:L716" headerRowCount="1" totalsRowCount="0" totalsRowShown="0">
  <x:tableColumns count="12">
    <x:tableColumn id="1" name="원본 index"/>
    <x:tableColumn id="2" name="StudyInstanceUID"/>
    <x:tableColumn id="3" name="언어"/>
    <x:tableColumn id="4" name="타깃"/>
    <x:tableColumn id="5" name="원본 답"/>
    <x:tableColumn id="6" name="LLM 답"/>
    <x:tableColumn id="7" name="비교"/>
    <x:tableColumn id="8" name="LLM 상태"/>
    <x:tableColumn id="9" name="LLM 근거"/>
    <x:tableColumn id="10" name="근거 검증"/>
    <x:tableColumn id="11" name="관련 소견"/>
    <x:tableColumn id="12" name="모델"/>
  </x:tableColumns>
  <x:tableStyleInfo name="TableStyleMedium2" showFirstColumn="0" showLastColumn="0" showRowStripes="1" showColumnStripes="0"/>
</x:table>
</file>

<file path=xl/tables/table3.xml><?xml version="1.0" encoding="utf-8"?>
<x:table xmlns:x="http://schemas.openxmlformats.org/spreadsheetml/2006/main" id="2" name="CandidateRelationsTable" displayName="CandidateRelationsTable" ref="A1:P7" headerRowCount="1" totalsRowCount="0" totalsRowShown="0">
  <x:tableColumns count="16">
    <x:tableColumn id="1" name="관련 소견 A → 미언급 타깃 B"/>
    <x:tableColumn id="2" name="a"/>
    <x:tableColumn id="3" name="b"/>
    <x:tableColumn id="4" name="c"/>
    <x:tableColumn id="5" name="d"/>
    <x:tableColumn id="6" name="P(B=1|A=1)"/>
    <x:tableColumn id="7" name="P(B=1|A=0)"/>
    <x:tableColumn id="8" name="위험도 차이"/>
    <x:tableColumn id="9" name="상대위험도"/>
    <x:tableColumn id="10" name="오즈비"/>
    <x:tableColumn id="11" name="OR 95% 하한"/>
    <x:tableColumn id="12" name="OR 95% 상한"/>
    <x:tableColumn id="13" name="Fisher p"/>
    <x:tableColumn id="14" name="BH q"/>
    <x:tableColumn id="15" name="A=1 표본수"/>
    <x:tableColumn id="16" name="임상적 해석"/>
  </x:tableColumns>
  <x:tableStyleInfo name="TableStyleMedium4" showFirstColumn="0" showLastColumn="0" showRowStripes="1" showColumnStripes="0"/>
</x:table>
</file>

<file path=xl/tables/table4.xml><?xml version="1.0" encoding="utf-8"?>
<x:table xmlns:x="http://schemas.openxmlformats.org/spreadsheetml/2006/main" id="5" name="BinaryCombinationSummaryTable" displayName="BinaryCombinationSummaryTable" ref="A4:E10" headerRowCount="1" totalsRowCount="0" totalsRowShown="0">
  <x:tableColumns count="5">
    <x:tableColumn id="1" name="관계"/>
    <x:tableColumn id="2" name="1→1"/>
    <x:tableColumn id="3" name="1→0"/>
    <x:tableColumn id="4" name="0→1"/>
    <x:tableColumn id="5" name="0→0"/>
  </x:tableColumns>
  <x:tableStyleInfo name="TableStyleMedium4" showFirstColumn="0" showLastColumn="0" showRowStripes="1" showColumnStripes="0"/>
</x:table>
</file>

<file path=xl/tables/table5.xml><?xml version="1.0" encoding="utf-8"?>
<x:table xmlns:x="http://schemas.openxmlformats.org/spreadsheetml/2006/main" id="6" name="BinaryCaseComparisonTable" displayName="BinaryCaseComparisonTable" ref="A14:T72" headerRowCount="1" totalsRowCount="0" totalsRowShown="0">
  <x:tableColumns count="20">
    <x:tableColumn id="1" name="No."/>
    <x:tableColumn id="2" name="StudyInstanceUID"/>
    <x:tableColumn id="3" name="Effusion"/>
    <x:tableColumn id="4" name="Synovitis"/>
    <x:tableColumn id="5" name="조합1"/>
    <x:tableColumn id="6" name="ACL"/>
    <x:tableColumn id="7" name="Contusion"/>
    <x:tableColumn id="8" name="조합2"/>
    <x:tableColumn id="9" name="Medial Meniscus"/>
    <x:tableColumn id="10" name="Medial OA"/>
    <x:tableColumn id="11" name="조합3"/>
    <x:tableColumn id="12" name="Lateral Meniscus"/>
    <x:tableColumn id="13" name="Lateral OA"/>
    <x:tableColumn id="14" name="조합4"/>
    <x:tableColumn id="15" name="Fracture"/>
    <x:tableColumn id="16" name="Contusion"/>
    <x:tableColumn id="17" name="조합5"/>
    <x:tableColumn id="18" name="Medial OA"/>
    <x:tableColumn id="19" name="PF OA"/>
    <x:tableColumn id="20" name="조합6"/>
  </x:tableColumns>
  <x:tableStyleInfo name="TableStyleMedium2" showFirstColumn="0" showLastColumn="0" showRowStripes="1" showColumnStripes="0"/>
</x:table>
</file>

<file path=xl/tables/table6.xml><?xml version="1.0" encoding="utf-8"?>
<x:table xmlns:x="http://schemas.openxmlformats.org/spreadsheetml/2006/main" id="1" name="AllRelationsTable" displayName="AllRelationsTable" ref="A1:S133" headerRowCount="1" totalsRowCount="0" totalsRowShown="0">
  <x:tableColumns count="19">
    <x:tableColumn id="1" name="관련 소견 A"/>
    <x:tableColumn id="2" name="미언급 타깃 B"/>
    <x:tableColumn id="3" name="a: A1·B1"/>
    <x:tableColumn id="4" name="b: A1·B0"/>
    <x:tableColumn id="5" name="c: A0·B1"/>
    <x:tableColumn id="6" name="d: A0·B0"/>
    <x:tableColumn id="7" name="A=1 표본수"/>
    <x:tableColumn id="8" name="P(B=1|A=1)"/>
    <x:tableColumn id="9" name="A=0 표본수"/>
    <x:tableColumn id="10" name="P(B=1|A=0)"/>
    <x:tableColumn id="11" name="위험도 차이"/>
    <x:tableColumn id="12" name="상대위험도"/>
    <x:tableColumn id="13" name="오즈비"/>
    <x:tableColumn id="14" name="OR 95% 하한"/>
    <x:tableColumn id="15" name="OR 95% 상한"/>
    <x:tableColumn id="16" name="Fisher p"/>
    <x:tableColumn id="17" name="BH q"/>
    <x:tableColumn id="18" name="임상적 해석"/>
    <x:tableColumn id="19" name="분류"/>
  </x:tableColumns>
  <x:tableStyleInfo name="TableStyleMedium2" showFirstColumn="0" showLastColumn="0" showRowStripes="1" showColumnStripes="0"/>
</x:table>
</file>

<file path=xl/tables/table7.xml><?xml version="1.0" encoding="utf-8"?>
<x:table xmlns:x="http://schemas.openxmlformats.org/spreadsheetml/2006/main" id="7" name="OriginalLabeledDataTable" displayName="OriginalLabeledDataTable" ref="A1:N59" headerRowCount="1" totalsRowCount="0" totalsRowShown="0">
  <x:tableColumns count="14">
    <x:tableColumn id="1" name="StudyInstanceUID"/>
    <x:tableColumn id="2" name="Report"/>
    <x:tableColumn id="3" name="ACL"/>
    <x:tableColumn id="4" name="MCL"/>
    <x:tableColumn id="5" name="Medial Meniscus"/>
    <x:tableColumn id="6" name="Lateral Meniscus"/>
    <x:tableColumn id="7" name="Medial OA"/>
    <x:tableColumn id="8" name="Lateral OA"/>
    <x:tableColumn id="9" name="PF OA"/>
    <x:tableColumn id="10" name="Effusion"/>
    <x:tableColumn id="11" name="Synovitis"/>
    <x:tableColumn id="12" name="Baker's"/>
    <x:tableColumn id="13" name="Contusion"/>
    <x:tableColumn id="14" name="Fracture"/>
  </x:tableColumns>
  <x:tableStyleInfo name="TableStyleMedium2" showFirstColumn="0" showLastColumn="0" showRowStripes="1" showColumnStripes="0"/>
</x:table>
</file>

<file path=xl/tables/table8.xml><?xml version="1.0" encoding="utf-8"?>
<x:table xmlns:x="http://schemas.openxmlformats.org/spreadsheetml/2006/main" id="8" name="MetricGuideTable" displayName="MetricGuideTable" ref="A3:E11" headerRowCount="1" totalsRowCount="0" totalsRowShown="0">
  <x:tableColumns count="5">
    <x:tableColumn id="1" name="지표"/>
    <x:tableColumn id="2" name="계산"/>
    <x:tableColumn id="3" name="왜 보는가"/>
    <x:tableColumn id="4" name="권장 해석"/>
    <x:tableColumn id="5" name="주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e3ce9063aa646c0" /></Relationships>
</file>

<file path=xl/worksheets/_rels/sheet2.xml.rels>&#65279;<?xml version="1.0" encoding="utf-8"?><Relationships xmlns="http://schemas.openxmlformats.org/package/2006/relationships"><Relationship Type="http://schemas.openxmlformats.org/officeDocument/2006/relationships/table" Target="/xl/tables/table1.xml" Id="R24d9af9cede9435f" /><Relationship Type="http://schemas.openxmlformats.org/officeDocument/2006/relationships/table" Target="/xl/tables/table2.xml" Id="Rd8f8f34deb3f46ea" /></Relationships>
</file>

<file path=xl/worksheets/_rels/sheet3.xml.rels>&#65279;<?xml version="1.0" encoding="utf-8"?><Relationships xmlns="http://schemas.openxmlformats.org/package/2006/relationships"><Relationship Type="http://schemas.openxmlformats.org/officeDocument/2006/relationships/table" Target="/xl/tables/table3.xml" Id="Re8d5a09af6cc47a4" /></Relationships>
</file>

<file path=xl/worksheets/_rels/sheet4.xml.rels>&#65279;<?xml version="1.0" encoding="utf-8"?><Relationships xmlns="http://schemas.openxmlformats.org/package/2006/relationships"><Relationship Type="http://schemas.openxmlformats.org/officeDocument/2006/relationships/table" Target="/xl/tables/table4.xml" Id="R124395a422a544ab" /><Relationship Type="http://schemas.openxmlformats.org/officeDocument/2006/relationships/table" Target="/xl/tables/table5.xml" Id="R060933cdd150446b" /></Relationships>
</file>

<file path=xl/worksheets/_rels/sheet6.xml.rels>&#65279;<?xml version="1.0" encoding="utf-8"?><Relationships xmlns="http://schemas.openxmlformats.org/package/2006/relationships"><Relationship Type="http://schemas.openxmlformats.org/officeDocument/2006/relationships/table" Target="/xl/tables/table6.xml" Id="R08ae2526ee164a50" /></Relationships>
</file>

<file path=xl/worksheets/_rels/sheet7.xml.rels>&#65279;<?xml version="1.0" encoding="utf-8"?><Relationships xmlns="http://schemas.openxmlformats.org/package/2006/relationships"><Relationship Type="http://schemas.openxmlformats.org/officeDocument/2006/relationships/table" Target="/xl/tables/table7.xml" Id="Rbe3e33742dab46b4" /></Relationships>
</file>

<file path=xl/worksheets/_rels/sheet8.xml.rels>&#65279;<?xml version="1.0" encoding="utf-8"?><Relationships xmlns="http://schemas.openxmlformats.org/package/2006/relationships"><Relationship Type="http://schemas.openxmlformats.org/officeDocument/2006/relationships/table" Target="/xl/tables/table8.xml" Id="R2dcdfa2fb4ff434b"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s>
  <x:sheetData>
    <x:row r="1">
      <x:c r="A1" s="155" t="str">
        <x:v>MRI Report 타깃 관계성 분석 — 원본 58건 비교</x:v>
      </x:c>
      <x:c r="B1" s="155"/>
      <x:c r="C1" s="155"/>
      <x:c r="D1" s="155"/>
      <x:c r="E1" s="155"/>
      <x:c r="F1" s="155"/>
      <x:c r="G1" s="155"/>
      <x:c r="H1" s="155"/>
      <x:c r="I1" s="155"/>
      <x:c r="J1" s="155"/>
      <x:c r="K1" s="155"/>
      <x:c r="L1" s="155"/>
      <x:c r="M1" s="155"/>
    </x:row>
    <x:row r="2">
      <x:c r="A2" s="155"/>
      <x:c r="B2" s="155"/>
      <x:c r="C2" s="155"/>
      <x:c r="D2" s="155"/>
      <x:c r="E2" s="155"/>
      <x:c r="F2" s="155"/>
      <x:c r="G2" s="155"/>
      <x:c r="H2" s="155"/>
      <x:c r="I2" s="155"/>
      <x:c r="J2" s="155"/>
      <x:c r="K2" s="155"/>
      <x:c r="L2" s="155"/>
      <x:c r="M2" s="155"/>
    </x:row>
    <x:row r="3">
      <x:c r="A3" s="19" t="str">
        <x:v>직접 언급이 없는 타깃 B를 관련 소견 A로 보정하기 위한 탐색적 분석 · 원본 데이터는 '원본58건' 시트에서 확인</x:v>
      </x:c>
      <x:c r="B3" s="19"/>
      <x:c r="C3" s="19"/>
      <x:c r="D3" s="19"/>
      <x:c r="E3" s="19"/>
      <x:c r="F3" s="19"/>
      <x:c r="G3" s="19"/>
      <x:c r="H3" s="19"/>
      <x:c r="I3" s="19"/>
      <x:c r="J3" s="19"/>
      <x:c r="K3" s="19"/>
      <x:c r="L3" s="19"/>
      <x:c r="M3" s="19"/>
    </x:row>
    <x:row r="5">
      <x:c r="A5" s="162" t="str">
        <x:v>원본 라벨 행</x:v>
      </x:c>
      <x:c r="B5" s="163"/>
      <x:c r="C5" s="164"/>
      <x:c r="D5" s="196" t="str">
        <x:v>타깃 수</x:v>
      </x:c>
      <x:c r="E5" s="197"/>
      <x:c r="F5" s="198"/>
      <x:c r="G5" s="230" t="str">
        <x:v>방향성 조합</x:v>
      </x:c>
      <x:c r="H5" s="231"/>
      <x:c r="I5" s="232"/>
      <x:c r="J5" s="264" t="str">
        <x:v>우선 후보</x:v>
      </x:c>
      <x:c r="K5" s="265"/>
      <x:c r="L5" s="266"/>
    </x:row>
    <x:row r="6">
      <x:c r="A6" s="184" t="n">
        <x:f>COUNTA('원본58건'!$A$2:$A$59)</x:f>
        <x:v>58</x:v>
      </x:c>
      <x:c r="B6" s="185"/>
      <x:c r="C6" s="186"/>
      <x:c r="D6" s="218" t="n">
        <x:f>COUNTA('원본58건'!$C$1:$N$1)</x:f>
        <x:v>12</x:v>
      </x:c>
      <x:c r="E6" s="219"/>
      <x:c r="F6" s="220"/>
      <x:c r="G6" s="252" t="n">
        <x:f>COUNTA('전체관계'!$A$2:$A$133)</x:f>
        <x:v>132</x:v>
      </x:c>
      <x:c r="H6" s="253"/>
      <x:c r="I6" s="254"/>
      <x:c r="J6" s="286" t="n">
        <x:f>COUNTA('후보비교'!$A$2:$A$7)</x:f>
        <x:v>6</x:v>
      </x:c>
      <x:c r="K6" s="287"/>
      <x:c r="L6" s="288"/>
    </x:row>
    <x:row r="7">
      <x:c r="A7" s="187"/>
      <x:c r="B7" s="188"/>
      <x:c r="C7" s="189"/>
      <x:c r="D7" s="221"/>
      <x:c r="E7" s="222"/>
      <x:c r="F7" s="223"/>
      <x:c r="G7" s="255"/>
      <x:c r="H7" s="256"/>
      <x:c r="I7" s="257"/>
      <x:c r="J7" s="289"/>
      <x:c r="K7" s="290"/>
      <x:c r="L7" s="291"/>
    </x:row>
    <x:row r="9">
      <x:c r="A9" s="20" t="str">
        <x:v>주요 후보 확률 비교</x:v>
      </x:c>
      <x:c r="B9" s="20"/>
      <x:c r="C9" s="20"/>
    </x:row>
    <x:row r="11">
      <x:c r="A11" s="292" t="str">
        <x:v>관계</x:v>
      </x:c>
      <x:c r="B11" s="293" t="str">
        <x:v>A=1일 때</x:v>
      </x:c>
      <x:c r="C11" s="294" t="str">
        <x:v>A=0일 때</x:v>
      </x:c>
    </x:row>
    <x:row r="12">
      <x:c r="A12" s="295" t="str">
        <x:f>'후보비교'!A2</x:f>
        <x:v>Effusion → Synovitis</x:v>
      </x:c>
      <x:c r="B12" s="296" t="n">
        <x:f>'후보비교'!F2</x:f>
        <x:v>0.6285714285714286</x:v>
      </x:c>
      <x:c r="C12" s="297" t="n">
        <x:f>'후보비교'!G2</x:f>
        <x:v>0.21739130434782608</x:v>
      </x:c>
    </x:row>
    <x:row r="13">
      <x:c r="A13" s="295" t="str">
        <x:f>'후보비교'!A3</x:f>
        <x:v>ACL → Contusion</x:v>
      </x:c>
      <x:c r="B13" s="296" t="n">
        <x:f>'후보비교'!F3</x:f>
        <x:v>0.5416666666666666</x:v>
      </x:c>
      <x:c r="C13" s="297" t="n">
        <x:f>'후보비교'!G3</x:f>
        <x:v>0.17647058823529413</x:v>
      </x:c>
    </x:row>
    <x:row r="14">
      <x:c r="A14" s="295" t="str">
        <x:f>'후보비교'!A4</x:f>
        <x:v>Medial Meniscus → Medial OA</x:v>
      </x:c>
      <x:c r="B14" s="296" t="n">
        <x:f>'후보비교'!F4</x:f>
        <x:v>0.46153846153846156</x:v>
      </x:c>
      <x:c r="C14" s="297" t="n">
        <x:f>'후보비교'!G4</x:f>
        <x:v>0.09375</x:v>
      </x:c>
    </x:row>
    <x:row r="15">
      <x:c r="A15" s="295" t="str">
        <x:f>'후보비교'!A5</x:f>
        <x:v>Lateral Meniscus → Lateral OA</x:v>
      </x:c>
      <x:c r="B15" s="296" t="n">
        <x:f>'후보비교'!F5</x:f>
        <x:v>0.391304347826087</x:v>
      </x:c>
      <x:c r="C15" s="297" t="n">
        <x:f>'후보비교'!G5</x:f>
        <x:v>0.05714285714285714</x:v>
      </x:c>
    </x:row>
    <x:row r="16">
      <x:c r="A16" s="295" t="str">
        <x:f>'후보비교'!A6</x:f>
        <x:v>Fracture → Contusion</x:v>
      </x:c>
      <x:c r="B16" s="296" t="n">
        <x:f>'후보비교'!F6</x:f>
        <x:v>0.5555555555555556</x:v>
      </x:c>
      <x:c r="C16" s="297" t="n">
        <x:f>'후보비교'!G6</x:f>
        <x:v>0.225</x:v>
      </x:c>
    </x:row>
    <x:row r="17">
      <x:c r="A17" s="298" t="str">
        <x:f>'후보비교'!A7</x:f>
        <x:v>Medial OA → PF OA</x:v>
      </x:c>
      <x:c r="B17" s="299" t="n">
        <x:f>'후보비교'!F7</x:f>
        <x:v>0.6666666666666666</x:v>
      </x:c>
      <x:c r="C17" s="300" t="n">
        <x:f>'후보비교'!G7</x:f>
        <x:v>0.2558139534883721</x:v>
      </x:c>
    </x:row>
    <x:row r="20">
      <x:c r="A20" s="106" t="str">
        <x:v>해석 원칙</x:v>
      </x:c>
      <x:c r="B20" s="106"/>
      <x:c r="C20" s="106"/>
      <x:c r="D20" s="106"/>
    </x:row>
    <x:row r="21">
      <x:c r="A21" s="319" t="str">
        <x:v>1) B가 직접 언급되면 직접 판독을 우선합니다.
2) B가 미언급이고 A가 명시적 양성·음성일 때만 보정합니다.
3) A도 미언급이면 보정하지 않습니다.
4) 관계는 인과가 아니라 탐색적 연관입니다.
5) 여러 관련 소견을 단순 곱하지 않습니다.</x:v>
      </x:c>
      <x:c r="B21" s="320"/>
      <x:c r="C21" s="320"/>
      <x:c r="D21" s="321"/>
    </x:row>
    <x:row r="22">
      <x:c r="A22" s="322"/>
      <x:c r="B22" s="323"/>
      <x:c r="C22" s="323"/>
      <x:c r="D22" s="324"/>
    </x:row>
    <x:row r="23">
      <x:c r="A23" s="322"/>
      <x:c r="B23" s="323"/>
      <x:c r="C23" s="323"/>
      <x:c r="D23" s="324"/>
    </x:row>
    <x:row r="24">
      <x:c r="A24" s="322"/>
      <x:c r="B24" s="323"/>
      <x:c r="C24" s="323"/>
      <x:c r="D24" s="324"/>
    </x:row>
    <x:row r="25">
      <x:c r="A25" s="325"/>
      <x:c r="B25" s="326"/>
      <x:c r="C25" s="326"/>
      <x:c r="D25" s="327"/>
    </x:row>
    <x:row r="27" ht="42" customHeight="1">
      <x:c r="A27" s="333" t="str">
        <x:v>주의: 58건은 표본이 작고, 66개 고유 타깃 쌍을 동시에 탐색했으므로 Fisher p-value와 BH q-value, A=1 표본수, 임상적 타당성을 함께 확인해야 합니다.</x:v>
      </x:c>
      <x:c r="B27" s="334"/>
      <x:c r="C27" s="334"/>
      <x:c r="D27" s="334"/>
      <x:c r="E27" s="334"/>
      <x:c r="F27" s="334"/>
      <x:c r="G27" s="334"/>
      <x:c r="H27" s="334"/>
      <x:c r="I27" s="334"/>
      <x:c r="J27" s="334"/>
      <x:c r="K27" s="334"/>
      <x:c r="L27" s="334"/>
      <x:c r="M27" s="335"/>
    </x:row>
  </x:sheetData>
  <x:mergeCells>
    <x:mergeCell ref="A1:M2"/>
    <x:mergeCell ref="A3:M3"/>
    <x:mergeCell ref="A5:C5"/>
    <x:mergeCell ref="A6:C7"/>
    <x:mergeCell ref="D5:F5"/>
    <x:mergeCell ref="D6:F7"/>
    <x:mergeCell ref="G5:I5"/>
    <x:mergeCell ref="G6:I7"/>
    <x:mergeCell ref="J5:L5"/>
    <x:mergeCell ref="J6:L7"/>
    <x:mergeCell ref="A9:C9"/>
    <x:mergeCell ref="A20:D20"/>
    <x:mergeCell ref="A21:D25"/>
    <x:mergeCell ref="A27:M27"/>
  </x:mergeCells>
  <x:pageMargins left="0.7" right="0.7" top="0.75" bottom="0.75" header="0.3" footer="0.3"/>
  <x:drawing xmlns:r="http://schemas.openxmlformats.org/officeDocument/2006/relationships" r:id="R5e3ce9063aa646c0"/>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44" hidden="0" customWidth="1"/>
    <x:col min="3" max="3" width="14" hidden="0" customWidth="1"/>
    <x:col min="4" max="4" width="22" hidden="0" customWidth="1"/>
    <x:col min="5" max="5" width="11" hidden="0" customWidth="1"/>
    <x:col min="6" max="6" width="11" hidden="0" customWidth="1"/>
    <x:col min="7" max="7" width="11" hidden="0" customWidth="1"/>
    <x:col min="8" max="8" width="22" hidden="0" customWidth="1"/>
    <x:col min="9" max="9" width="62" hidden="0" customWidth="1"/>
    <x:col min="10" max="10" width="14" hidden="0" customWidth="1"/>
    <x:col min="11" max="11" width="40" hidden="0" customWidth="1"/>
    <x:col min="12" max="12" width="16" hidden="0" customWidth="1"/>
  </x:cols>
  <x:sheetData>
    <x:row r="1">
      <x:c r="A1" s="16" t="str">
        <x:v>LLM 답과 원본 정답의 0·1 비교</x:v>
      </x:c>
      <x:c r="B1" s="16"/>
      <x:c r="C1" s="16"/>
      <x:c r="D1" s="16"/>
      <x:c r="E1" s="16"/>
      <x:c r="F1" s="16"/>
      <x:c r="G1" s="16"/>
      <x:c r="H1" s="16"/>
      <x:c r="I1" s="16"/>
      <x:c r="J1" s="16"/>
      <x:c r="K1" s="16"/>
      <x:c r="L1" s="16"/>
    </x:row>
    <x:row r="2">
      <x:c r="A2" s="16"/>
      <x:c r="B2" s="16"/>
      <x:c r="C2" s="16"/>
      <x:c r="D2" s="16"/>
      <x:c r="E2" s="16"/>
      <x:c r="F2" s="16"/>
      <x:c r="G2" s="16"/>
      <x:c r="H2" s="16"/>
      <x:c r="I2" s="16"/>
      <x:c r="J2" s="16"/>
      <x:c r="K2" s="16"/>
      <x:c r="L2" s="16"/>
    </x:row>
    <x:row r="3">
      <x:c r="A3" s="19" t="str">
        <x:v>원본=gold_label · LLM=llm_binary · uncertain/not-mentioned처럼 llm_binary가 비어 있는 경우는 '판정없음'으로 유지</x:v>
      </x:c>
      <x:c r="B3" s="19"/>
      <x:c r="C3" s="19"/>
      <x:c r="D3" s="19"/>
      <x:c r="E3" s="19"/>
      <x:c r="F3" s="19"/>
      <x:c r="G3" s="19"/>
      <x:c r="H3" s="19"/>
      <x:c r="I3" s="19"/>
      <x:c r="J3" s="19"/>
      <x:c r="K3" s="19"/>
      <x:c r="L3" s="19"/>
    </x:row>
    <x:row r="5">
      <x:c r="A5" s="20" t="str">
        <x:v>타깃</x:v>
      </x:c>
      <x:c r="B5" s="20" t="str">
        <x:v>원본 1</x:v>
      </x:c>
      <x:c r="C5" s="20" t="str">
        <x:v>LLM 1</x:v>
      </x:c>
      <x:c r="D5" s="20" t="str">
        <x:v>비교 가능</x:v>
      </x:c>
      <x:c r="E5" s="20" t="str">
        <x:v>일치</x:v>
      </x:c>
      <x:c r="F5" s="20" t="str">
        <x:v>불일치</x:v>
      </x:c>
      <x:c r="G5" s="20" t="str">
        <x:v>일치율</x:v>
      </x:c>
      <x:c r="H5" s="20" t="str">
        <x:v>0→1</x:v>
      </x:c>
      <x:c r="I5" s="20" t="str">
        <x:v>1→0</x:v>
      </x:c>
      <x:c r="J5" s="20" t="str">
        <x:v>판정없음</x:v>
      </x:c>
      <x:c r="K5" s="20" t="str">
        <x:v>전체 비교 가능</x:v>
      </x:c>
      <x:c r="L5" s="20"/>
    </x:row>
    <x:row r="6">
      <x:c r="A6" t="str">
        <x:v>ACL</x:v>
      </x:c>
      <x:c r="B6" s="21" t="n">
        <x:f>COUNTIFS($D$21:$D$716,$A6,$E$21:$E$716,1)</x:f>
        <x:v>24</x:v>
      </x:c>
      <x:c r="C6" s="21" t="n">
        <x:f>COUNTIFS($D$21:$D$716,$A6,$F$21:$F$716,1)</x:f>
        <x:v>22</x:v>
      </x:c>
      <x:c r="D6" s="21" t="n">
        <x:f>COUNTIFS($D$21:$D$716,$A6,$F$21:$F$716,0)+COUNTIFS($D$21:$D$716,$A6,$F$21:$F$716,1)</x:f>
        <x:v>40</x:v>
      </x:c>
      <x:c r="E6" s="21" t="n">
        <x:f>COUNTIFS($D$21:$D$716,$A6,$G$21:$G$716,"일치")</x:f>
        <x:v>37</x:v>
      </x:c>
      <x:c r="F6" s="21" t="n">
        <x:f>COUNTIFS($D$21:$D$716,$A6,$G$21:$G$716,"0→1")+COUNTIFS($D$21:$D$716,$A6,$G$21:$G$716,"1→0")</x:f>
        <x:v>3</x:v>
      </x:c>
      <x:c r="G6" s="22" t="n">
        <x:f>IFERROR(E6/D6,"")</x:f>
        <x:v>0.925</x:v>
      </x:c>
      <x:c r="H6" s="21" t="n">
        <x:f>COUNTIFS($D$21:$D$716,$A6,$G$21:$G$716,"0→1")</x:f>
        <x:v>3</x:v>
      </x:c>
      <x:c r="I6" s="21" t="n">
        <x:f>COUNTIFS($D$21:$D$716,$A6,$G$21:$G$716,"1→0")</x:f>
        <x:v>0</x:v>
      </x:c>
      <x:c r="J6" s="21" t="n">
        <x:f>COUNTIFS($D$21:$D$716,$A6,$G$21:$G$716,"판정없음")</x:f>
        <x:v>18</x:v>
      </x:c>
      <x:c r="K6" s="37" t="n">
        <x:f>COUNT($F$21:$F$716)</x:f>
        <x:v>377</x:v>
      </x:c>
      <x:c r="L6" s="38"/>
    </x:row>
    <x:row r="7">
      <x:c r="A7" t="str">
        <x:v>MCL</x:v>
      </x:c>
      <x:c r="B7" s="21" t="n">
        <x:f>COUNTIFS($D$21:$D$716,$A7,$E$21:$E$716,1)</x:f>
        <x:v>9</x:v>
      </x:c>
      <x:c r="C7" s="21" t="n">
        <x:f>COUNTIFS($D$21:$D$716,$A7,$F$21:$F$716,1)</x:f>
        <x:v>15</x:v>
      </x:c>
      <x:c r="D7" s="21" t="n">
        <x:f>COUNTIFS($D$21:$D$716,$A7,$F$21:$F$716,0)+COUNTIFS($D$21:$D$716,$A7,$F$21:$F$716,1)</x:f>
        <x:v>47</x:v>
      </x:c>
      <x:c r="E7" s="21" t="n">
        <x:f>COUNTIFS($D$21:$D$716,$A7,$G$21:$G$716,"일치")</x:f>
        <x:v>40</x:v>
      </x:c>
      <x:c r="F7" s="21" t="n">
        <x:f>COUNTIFS($D$21:$D$716,$A7,$G$21:$G$716,"0→1")+COUNTIFS($D$21:$D$716,$A7,$G$21:$G$716,"1→0")</x:f>
        <x:v>7</x:v>
      </x:c>
      <x:c r="G7" s="22" t="n">
        <x:f>IFERROR(E7/D7,"")</x:f>
        <x:v>0.851063829787234</x:v>
      </x:c>
      <x:c r="H7" s="21" t="n">
        <x:f>COUNTIFS($D$21:$D$716,$A7,$G$21:$G$716,"0→1")</x:f>
        <x:v>7</x:v>
      </x:c>
      <x:c r="I7" s="21" t="n">
        <x:f>COUNTIFS($D$21:$D$716,$A7,$G$21:$G$716,"1→0")</x:f>
        <x:v>0</x:v>
      </x:c>
      <x:c r="J7" s="21" t="n">
        <x:f>COUNTIFS($D$21:$D$716,$A7,$G$21:$G$716,"판정없음")</x:f>
        <x:v>11</x:v>
      </x:c>
      <x:c r="K7" s="39"/>
      <x:c r="L7" s="40"/>
    </x:row>
    <x:row r="8">
      <x:c r="A8" t="str">
        <x:v>Medial Meniscus</x:v>
      </x:c>
      <x:c r="B8" s="21" t="n">
        <x:f>COUNTIFS($D$21:$D$716,$A8,$E$21:$E$716,1)</x:f>
        <x:v>26</x:v>
      </x:c>
      <x:c r="C8" s="21" t="n">
        <x:f>COUNTIFS($D$21:$D$716,$A8,$F$21:$F$716,1)</x:f>
        <x:v>24</x:v>
      </x:c>
      <x:c r="D8" s="21" t="n">
        <x:f>COUNTIFS($D$21:$D$716,$A8,$F$21:$F$716,0)+COUNTIFS($D$21:$D$716,$A8,$F$21:$F$716,1)</x:f>
        <x:v>41</x:v>
      </x:c>
      <x:c r="E8" s="21" t="n">
        <x:f>COUNTIFS($D$21:$D$716,$A8,$G$21:$G$716,"일치")</x:f>
        <x:v>38</x:v>
      </x:c>
      <x:c r="F8" s="21" t="n">
        <x:f>COUNTIFS($D$21:$D$716,$A8,$G$21:$G$716,"0→1")+COUNTIFS($D$21:$D$716,$A8,$G$21:$G$716,"1→0")</x:f>
        <x:v>3</x:v>
      </x:c>
      <x:c r="G8" s="22" t="n">
        <x:f>IFERROR(E8/D8,"")</x:f>
        <x:v>0.926829268292683</x:v>
      </x:c>
      <x:c r="H8" s="21" t="n">
        <x:f>COUNTIFS($D$21:$D$716,$A8,$G$21:$G$716,"0→1")</x:f>
        <x:v>3</x:v>
      </x:c>
      <x:c r="I8" s="21" t="n">
        <x:f>COUNTIFS($D$21:$D$716,$A8,$G$21:$G$716,"1→0")</x:f>
        <x:v>0</x:v>
      </x:c>
      <x:c r="J8" s="21" t="n">
        <x:f>COUNTIFS($D$21:$D$716,$A8,$G$21:$G$716,"판정없음")</x:f>
        <x:v>17</x:v>
      </x:c>
      <x:c r="K8" s="43" t="str">
        <x:v>전체 일치율</x:v>
      </x:c>
      <x:c r="L8" s="43"/>
    </x:row>
    <x:row r="9">
      <x:c r="A9" t="str">
        <x:v>Lateral Meniscus</x:v>
      </x:c>
      <x:c r="B9" s="21" t="n">
        <x:f>COUNTIFS($D$21:$D$716,$A9,$E$21:$E$716,1)</x:f>
        <x:v>23</x:v>
      </x:c>
      <x:c r="C9" s="21" t="n">
        <x:f>COUNTIFS($D$21:$D$716,$A9,$F$21:$F$716,1)</x:f>
        <x:v>20</x:v>
      </x:c>
      <x:c r="D9" s="21" t="n">
        <x:f>COUNTIFS($D$21:$D$716,$A9,$F$21:$F$716,0)+COUNTIFS($D$21:$D$716,$A9,$F$21:$F$716,1)</x:f>
        <x:v>39</x:v>
      </x:c>
      <x:c r="E9" s="21" t="n">
        <x:f>COUNTIFS($D$21:$D$716,$A9,$G$21:$G$716,"일치")</x:f>
        <x:v>34</x:v>
      </x:c>
      <x:c r="F9" s="21" t="n">
        <x:f>COUNTIFS($D$21:$D$716,$A9,$G$21:$G$716,"0→1")+COUNTIFS($D$21:$D$716,$A9,$G$21:$G$716,"1→0")</x:f>
        <x:v>5</x:v>
      </x:c>
      <x:c r="G9" s="22" t="n">
        <x:f>IFERROR(E9/D9,"")</x:f>
        <x:v>0.8717948717948718</x:v>
      </x:c>
      <x:c r="H9" s="21" t="n">
        <x:f>COUNTIFS($D$21:$D$716,$A9,$G$21:$G$716,"0→1")</x:f>
        <x:v>3</x:v>
      </x:c>
      <x:c r="I9" s="21" t="n">
        <x:f>COUNTIFS($D$21:$D$716,$A9,$G$21:$G$716,"1→0")</x:f>
        <x:v>2</x:v>
      </x:c>
      <x:c r="J9" s="21" t="n">
        <x:f>COUNTIFS($D$21:$D$716,$A9,$G$21:$G$716,"판정없음")</x:f>
        <x:v>19</x:v>
      </x:c>
      <x:c r="K9" s="57" t="n">
        <x:f>IFERROR(COUNTIF($G$21:$G$716,"일치")/COUNT($F$21:$F$716),"")</x:f>
        <x:v>0.8063660477453581</x:v>
      </x:c>
      <x:c r="L9" s="58"/>
    </x:row>
    <x:row r="10">
      <x:c r="A10" t="str">
        <x:v>Medial OA</x:v>
      </x:c>
      <x:c r="B10" s="21" t="n">
        <x:f>COUNTIFS($D$21:$D$716,$A10,$E$21:$E$716,1)</x:f>
        <x:v>15</x:v>
      </x:c>
      <x:c r="C10" s="21" t="n">
        <x:f>COUNTIFS($D$21:$D$716,$A10,$F$21:$F$716,1)</x:f>
        <x:v>15</x:v>
      </x:c>
      <x:c r="D10" s="21" t="n">
        <x:f>COUNTIFS($D$21:$D$716,$A10,$F$21:$F$716,0)+COUNTIFS($D$21:$D$716,$A10,$F$21:$F$716,1)</x:f>
        <x:v>18</x:v>
      </x:c>
      <x:c r="E10" s="21" t="n">
        <x:f>COUNTIFS($D$21:$D$716,$A10,$G$21:$G$716,"일치")</x:f>
        <x:v>14</x:v>
      </x:c>
      <x:c r="F10" s="21" t="n">
        <x:f>COUNTIFS($D$21:$D$716,$A10,$G$21:$G$716,"0→1")+COUNTIFS($D$21:$D$716,$A10,$G$21:$G$716,"1→0")</x:f>
        <x:v>4</x:v>
      </x:c>
      <x:c r="G10" s="22" t="n">
        <x:f>IFERROR(E10/D10,"")</x:f>
        <x:v>0.7777777777777778</x:v>
      </x:c>
      <x:c r="H10" s="21" t="n">
        <x:f>COUNTIFS($D$21:$D$716,$A10,$G$21:$G$716,"0→1")</x:f>
        <x:v>4</x:v>
      </x:c>
      <x:c r="I10" s="21" t="n">
        <x:f>COUNTIFS($D$21:$D$716,$A10,$G$21:$G$716,"1→0")</x:f>
        <x:v>0</x:v>
      </x:c>
      <x:c r="J10" s="21" t="n">
        <x:f>COUNTIFS($D$21:$D$716,$A10,$G$21:$G$716,"판정없음")</x:f>
        <x:v>40</x:v>
      </x:c>
      <x:c r="K10" s="59"/>
      <x:c r="L10" s="60"/>
    </x:row>
    <x:row r="11">
      <x:c r="A11" t="str">
        <x:v>Lateral OA</x:v>
      </x:c>
      <x:c r="B11" s="21" t="n">
        <x:f>COUNTIFS($D$21:$D$716,$A11,$E$21:$E$716,1)</x:f>
        <x:v>11</x:v>
      </x:c>
      <x:c r="C11" s="21" t="n">
        <x:f>COUNTIFS($D$21:$D$716,$A11,$F$21:$F$716,1)</x:f>
        <x:v>13</x:v>
      </x:c>
      <x:c r="D11" s="21" t="n">
        <x:f>COUNTIFS($D$21:$D$716,$A11,$F$21:$F$716,0)+COUNTIFS($D$21:$D$716,$A11,$F$21:$F$716,1)</x:f>
        <x:v>15</x:v>
      </x:c>
      <x:c r="E11" s="21" t="n">
        <x:f>COUNTIFS($D$21:$D$716,$A11,$G$21:$G$716,"일치")</x:f>
        <x:v>10</x:v>
      </x:c>
      <x:c r="F11" s="21" t="n">
        <x:f>COUNTIFS($D$21:$D$716,$A11,$G$21:$G$716,"0→1")+COUNTIFS($D$21:$D$716,$A11,$G$21:$G$716,"1→0")</x:f>
        <x:v>5</x:v>
      </x:c>
      <x:c r="G11" s="22" t="n">
        <x:f>IFERROR(E11/D11,"")</x:f>
        <x:v>0.6666666666666666</x:v>
      </x:c>
      <x:c r="H11" s="21" t="n">
        <x:f>COUNTIFS($D$21:$D$716,$A11,$G$21:$G$716,"0→1")</x:f>
        <x:v>5</x:v>
      </x:c>
      <x:c r="I11" s="21" t="n">
        <x:f>COUNTIFS($D$21:$D$716,$A11,$G$21:$G$716,"1→0")</x:f>
        <x:v>0</x:v>
      </x:c>
      <x:c r="J11" s="21" t="n">
        <x:f>COUNTIFS($D$21:$D$716,$A11,$G$21:$G$716,"판정없음")</x:f>
        <x:v>43</x:v>
      </x:c>
      <x:c r="K11" s="63" t="str">
        <x:v>불일치</x:v>
      </x:c>
      <x:c r="L11" s="63"/>
    </x:row>
    <x:row r="12">
      <x:c r="A12" t="str">
        <x:v>PF OA</x:v>
      </x:c>
      <x:c r="B12" s="21" t="n">
        <x:f>COUNTIFS($D$21:$D$716,$A12,$E$21:$E$716,1)</x:f>
        <x:v>21</x:v>
      </x:c>
      <x:c r="C12" s="21" t="n">
        <x:f>COUNTIFS($D$21:$D$716,$A12,$F$21:$F$716,1)</x:f>
        <x:v>17</x:v>
      </x:c>
      <x:c r="D12" s="21" t="n">
        <x:f>COUNTIFS($D$21:$D$716,$A12,$F$21:$F$716,0)+COUNTIFS($D$21:$D$716,$A12,$F$21:$F$716,1)</x:f>
        <x:v>21</x:v>
      </x:c>
      <x:c r="E12" s="21" t="n">
        <x:f>COUNTIFS($D$21:$D$716,$A12,$G$21:$G$716,"일치")</x:f>
        <x:v>17</x:v>
      </x:c>
      <x:c r="F12" s="21" t="n">
        <x:f>COUNTIFS($D$21:$D$716,$A12,$G$21:$G$716,"0→1")+COUNTIFS($D$21:$D$716,$A12,$G$21:$G$716,"1→0")</x:f>
        <x:v>4</x:v>
      </x:c>
      <x:c r="G12" s="22" t="n">
        <x:f>IFERROR(E12/D12,"")</x:f>
        <x:v>0.8095238095238095</x:v>
      </x:c>
      <x:c r="H12" s="21" t="n">
        <x:f>COUNTIFS($D$21:$D$716,$A12,$G$21:$G$716,"0→1")</x:f>
        <x:v>4</x:v>
      </x:c>
      <x:c r="I12" s="21" t="n">
        <x:f>COUNTIFS($D$21:$D$716,$A12,$G$21:$G$716,"1→0")</x:f>
        <x:v>0</x:v>
      </x:c>
      <x:c r="J12" s="21" t="n">
        <x:f>COUNTIFS($D$21:$D$716,$A12,$G$21:$G$716,"판정없음")</x:f>
        <x:v>37</x:v>
      </x:c>
      <x:c r="K12" s="77" t="n">
        <x:f>COUNTIF($G$21:$G$716,"0→1")+COUNTIF($G$21:$G$716,"1→0")</x:f>
        <x:v>73</x:v>
      </x:c>
      <x:c r="L12" s="78"/>
    </x:row>
    <x:row r="13">
      <x:c r="A13" t="str">
        <x:v>Effusion</x:v>
      </x:c>
      <x:c r="B13" s="21" t="n">
        <x:f>COUNTIFS($D$21:$D$716,$A13,$E$21:$E$716,1)</x:f>
        <x:v>35</x:v>
      </x:c>
      <x:c r="C13" s="21" t="n">
        <x:f>COUNTIFS($D$21:$D$716,$A13,$F$21:$F$716,1)</x:f>
        <x:v>49</x:v>
      </x:c>
      <x:c r="D13" s="21" t="n">
        <x:f>COUNTIFS($D$21:$D$716,$A13,$F$21:$F$716,0)+COUNTIFS($D$21:$D$716,$A13,$F$21:$F$716,1)</x:f>
        <x:v>55</x:v>
      </x:c>
      <x:c r="E13" s="21" t="n">
        <x:f>COUNTIFS($D$21:$D$716,$A13,$G$21:$G$716,"일치")</x:f>
        <x:v>40</x:v>
      </x:c>
      <x:c r="F13" s="21" t="n">
        <x:f>COUNTIFS($D$21:$D$716,$A13,$G$21:$G$716,"0→1")+COUNTIFS($D$21:$D$716,$A13,$G$21:$G$716,"1→0")</x:f>
        <x:v>15</x:v>
      </x:c>
      <x:c r="G13" s="22" t="n">
        <x:f>IFERROR(E13/D13,"")</x:f>
        <x:v>0.7272727272727273</x:v>
      </x:c>
      <x:c r="H13" s="21" t="n">
        <x:f>COUNTIFS($D$21:$D$716,$A13,$G$21:$G$716,"0→1")</x:f>
        <x:v>15</x:v>
      </x:c>
      <x:c r="I13" s="21" t="n">
        <x:f>COUNTIFS($D$21:$D$716,$A13,$G$21:$G$716,"1→0")</x:f>
        <x:v>0</x:v>
      </x:c>
      <x:c r="J13" s="21" t="n">
        <x:f>COUNTIFS($D$21:$D$716,$A13,$G$21:$G$716,"판정없음")</x:f>
        <x:v>3</x:v>
      </x:c>
      <x:c r="K13" s="79"/>
      <x:c r="L13" s="80"/>
    </x:row>
    <x:row r="14">
      <x:c r="A14" t="str">
        <x:v>Synovitis</x:v>
      </x:c>
      <x:c r="B14" s="21" t="n">
        <x:f>COUNTIFS($D$21:$D$716,$A14,$E$21:$E$716,1)</x:f>
        <x:v>27</x:v>
      </x:c>
      <x:c r="C14" s="21" t="n">
        <x:f>COUNTIFS($D$21:$D$716,$A14,$F$21:$F$716,1)</x:f>
        <x:v>17</x:v>
      </x:c>
      <x:c r="D14" s="21" t="n">
        <x:f>COUNTIFS($D$21:$D$716,$A14,$F$21:$F$716,0)+COUNTIFS($D$21:$D$716,$A14,$F$21:$F$716,1)</x:f>
        <x:v>17</x:v>
      </x:c>
      <x:c r="E14" s="21" t="n">
        <x:f>COUNTIFS($D$21:$D$716,$A14,$G$21:$G$716,"일치")</x:f>
        <x:v>13</x:v>
      </x:c>
      <x:c r="F14" s="21" t="n">
        <x:f>COUNTIFS($D$21:$D$716,$A14,$G$21:$G$716,"0→1")+COUNTIFS($D$21:$D$716,$A14,$G$21:$G$716,"1→0")</x:f>
        <x:v>4</x:v>
      </x:c>
      <x:c r="G14" s="22" t="n">
        <x:f>IFERROR(E14/D14,"")</x:f>
        <x:v>0.7647058823529411</x:v>
      </x:c>
      <x:c r="H14" s="21" t="n">
        <x:f>COUNTIFS($D$21:$D$716,$A14,$G$21:$G$716,"0→1")</x:f>
        <x:v>4</x:v>
      </x:c>
      <x:c r="I14" s="21" t="n">
        <x:f>COUNTIFS($D$21:$D$716,$A14,$G$21:$G$716,"1→0")</x:f>
        <x:v>0</x:v>
      </x:c>
      <x:c r="J14" s="21" t="n">
        <x:f>COUNTIFS($D$21:$D$716,$A14,$G$21:$G$716,"판정없음")</x:f>
        <x:v>41</x:v>
      </x:c>
      <x:c r="K14" s="83" t="str">
        <x:v>판정없음</x:v>
      </x:c>
      <x:c r="L14" s="83"/>
    </x:row>
    <x:row r="15">
      <x:c r="A15" t="str">
        <x:v>Baker's</x:v>
      </x:c>
      <x:c r="B15" s="21" t="n">
        <x:f>COUNTIFS($D$21:$D$716,$A15,$E$21:$E$716,1)</x:f>
        <x:v>12</x:v>
      </x:c>
      <x:c r="C15" s="21" t="n">
        <x:f>COUNTIFS($D$21:$D$716,$A15,$F$21:$F$716,1)</x:f>
        <x:v>15</x:v>
      </x:c>
      <x:c r="D15" s="21" t="n">
        <x:f>COUNTIFS($D$21:$D$716,$A15,$F$21:$F$716,0)+COUNTIFS($D$21:$D$716,$A15,$F$21:$F$716,1)</x:f>
        <x:v>25</x:v>
      </x:c>
      <x:c r="E15" s="21" t="n">
        <x:f>COUNTIFS($D$21:$D$716,$A15,$G$21:$G$716,"일치")</x:f>
        <x:v>21</x:v>
      </x:c>
      <x:c r="F15" s="21" t="n">
        <x:f>COUNTIFS($D$21:$D$716,$A15,$G$21:$G$716,"0→1")+COUNTIFS($D$21:$D$716,$A15,$G$21:$G$716,"1→0")</x:f>
        <x:v>4</x:v>
      </x:c>
      <x:c r="G15" s="22" t="n">
        <x:f>IFERROR(E15/D15,"")</x:f>
        <x:v>0.84</x:v>
      </x:c>
      <x:c r="H15" s="21" t="n">
        <x:f>COUNTIFS($D$21:$D$716,$A15,$G$21:$G$716,"0→1")</x:f>
        <x:v>4</x:v>
      </x:c>
      <x:c r="I15" s="21" t="n">
        <x:f>COUNTIFS($D$21:$D$716,$A15,$G$21:$G$716,"1→0")</x:f>
        <x:v>0</x:v>
      </x:c>
      <x:c r="J15" s="21" t="n">
        <x:f>COUNTIFS($D$21:$D$716,$A15,$G$21:$G$716,"판정없음")</x:f>
        <x:v>33</x:v>
      </x:c>
      <x:c r="K15" s="97" t="n">
        <x:f>COUNTIF($G$21:$G$716,"판정없음")</x:f>
        <x:v>319</x:v>
      </x:c>
      <x:c r="L15" s="98"/>
    </x:row>
    <x:row r="16">
      <x:c r="A16" t="str">
        <x:v>Contusion</x:v>
      </x:c>
      <x:c r="B16" s="21" t="n">
        <x:f>COUNTIFS($D$21:$D$716,$A16,$E$21:$E$716,1)</x:f>
        <x:v>19</x:v>
      </x:c>
      <x:c r="C16" s="21" t="n">
        <x:f>COUNTIFS($D$21:$D$716,$A16,$F$21:$F$716,1)</x:f>
        <x:v>28</x:v>
      </x:c>
      <x:c r="D16" s="21" t="n">
        <x:f>COUNTIFS($D$21:$D$716,$A16,$F$21:$F$716,0)+COUNTIFS($D$21:$D$716,$A16,$F$21:$F$716,1)</x:f>
        <x:v>37</x:v>
      </x:c>
      <x:c r="E16" s="21" t="n">
        <x:f>COUNTIFS($D$21:$D$716,$A16,$G$21:$G$716,"일치")</x:f>
        <x:v>22</x:v>
      </x:c>
      <x:c r="F16" s="21" t="n">
        <x:f>COUNTIFS($D$21:$D$716,$A16,$G$21:$G$716,"0→1")+COUNTIFS($D$21:$D$716,$A16,$G$21:$G$716,"1→0")</x:f>
        <x:v>15</x:v>
      </x:c>
      <x:c r="G16" s="22" t="n">
        <x:f>IFERROR(E16/D16,"")</x:f>
        <x:v>0.5945945945945946</x:v>
      </x:c>
      <x:c r="H16" s="21" t="n">
        <x:f>COUNTIFS($D$21:$D$716,$A16,$G$21:$G$716,"0→1")</x:f>
        <x:v>14</x:v>
      </x:c>
      <x:c r="I16" s="21" t="n">
        <x:f>COUNTIFS($D$21:$D$716,$A16,$G$21:$G$716,"1→0")</x:f>
        <x:v>1</x:v>
      </x:c>
      <x:c r="J16" s="21" t="n">
        <x:f>COUNTIFS($D$21:$D$716,$A16,$G$21:$G$716,"판정없음")</x:f>
        <x:v>21</x:v>
      </x:c>
      <x:c r="K16" s="99"/>
      <x:c r="L16" s="100"/>
    </x:row>
    <x:row r="17">
      <x:c r="A17" t="str">
        <x:v>Fracture</x:v>
      </x:c>
      <x:c r="B17" s="21" t="n">
        <x:f>COUNTIFS($D$21:$D$716,$A17,$E$21:$E$716,1)</x:f>
        <x:v>18</x:v>
      </x:c>
      <x:c r="C17" s="21" t="n">
        <x:f>COUNTIFS($D$21:$D$716,$A17,$F$21:$F$716,1)</x:f>
        <x:v>16</x:v>
      </x:c>
      <x:c r="D17" s="21" t="n">
        <x:f>COUNTIFS($D$21:$D$716,$A17,$F$21:$F$716,0)+COUNTIFS($D$21:$D$716,$A17,$F$21:$F$716,1)</x:f>
        <x:v>22</x:v>
      </x:c>
      <x:c r="E17" s="21" t="n">
        <x:f>COUNTIFS($D$21:$D$716,$A17,$G$21:$G$716,"일치")</x:f>
        <x:v>18</x:v>
      </x:c>
      <x:c r="F17" s="21" t="n">
        <x:f>COUNTIFS($D$21:$D$716,$A17,$G$21:$G$716,"0→1")+COUNTIFS($D$21:$D$716,$A17,$G$21:$G$716,"1→0")</x:f>
        <x:v>4</x:v>
      </x:c>
      <x:c r="G17" s="22" t="n">
        <x:f>IFERROR(E17/D17,"")</x:f>
        <x:v>0.8181818181818182</x:v>
      </x:c>
      <x:c r="H17" s="21" t="n">
        <x:f>COUNTIFS($D$21:$D$716,$A17,$G$21:$G$716,"0→1")</x:f>
        <x:v>4</x:v>
      </x:c>
      <x:c r="I17" s="21" t="n">
        <x:f>COUNTIFS($D$21:$D$716,$A17,$G$21:$G$716,"1→0")</x:f>
        <x:v>0</x:v>
      </x:c>
      <x:c r="J17" s="21" t="n">
        <x:f>COUNTIFS($D$21:$D$716,$A17,$G$21:$G$716,"판정없음")</x:f>
        <x:v>36</x:v>
      </x:c>
    </x:row>
    <x:row r="19">
      <x:c r="A19" s="102" t="str">
        <x:v>696개 타깃별 상세 비교 — 필터로 타깃·일치 여부·LLM 상태를 선택할 수 있습니다</x:v>
      </x:c>
      <x:c r="B19" s="102"/>
      <x:c r="C19" s="102"/>
      <x:c r="D19" s="102"/>
      <x:c r="E19" s="102"/>
      <x:c r="F19" s="102"/>
      <x:c r="G19" s="102"/>
      <x:c r="H19" s="102"/>
      <x:c r="I19" s="102"/>
      <x:c r="J19" s="102"/>
      <x:c r="K19" s="102"/>
      <x:c r="L19" s="102"/>
    </x:row>
    <x:row r="20">
      <x:c r="A20" s="103" t="str">
        <x:v>원본 index</x:v>
      </x:c>
      <x:c r="B20" s="103" t="str">
        <x:v>StudyInstanceUID</x:v>
      </x:c>
      <x:c r="C20" s="103" t="str">
        <x:v>언어</x:v>
      </x:c>
      <x:c r="D20" s="103" t="str">
        <x:v>타깃</x:v>
      </x:c>
      <x:c r="E20" s="103" t="str">
        <x:v>원본 답</x:v>
      </x:c>
      <x:c r="F20" s="103" t="str">
        <x:v>LLM 답</x:v>
      </x:c>
      <x:c r="G20" s="103" t="str">
        <x:v>비교</x:v>
      </x:c>
      <x:c r="H20" s="103" t="str">
        <x:v>LLM 상태</x:v>
      </x:c>
      <x:c r="I20" s="103" t="str">
        <x:v>LLM 근거</x:v>
      </x:c>
      <x:c r="J20" s="103" t="str">
        <x:v>근거 검증</x:v>
      </x:c>
      <x:c r="K20" s="103" t="str">
        <x:v>관련 소견</x:v>
      </x:c>
      <x:c r="L20" s="103" t="str">
        <x:v>모델</x:v>
      </x:c>
    </x:row>
    <x:row r="21" ht="38" customHeight="1">
      <x:c r="A21" t="n">
        <x:v>29</x:v>
      </x:c>
      <x:c r="B21" t="str">
        <x:v>1.2.826.0.1.3680043.8.498.10095687747295410396510538520594649149</x:v>
      </x:c>
      <x:c r="C21" t="str">
        <x:v>Spanish</x:v>
      </x:c>
      <x:c r="D21" t="str">
        <x:v>ACL</x:v>
      </x:c>
      <x:c r="E21" s="21" t="n">
        <x:v>0</x:v>
      </x:c>
      <x:c r="F21" s="21" t="n">
        <x:v>0</x:v>
      </x:c>
      <x:c r="G21" s="21" t="str">
        <x:f>IF(COUNT(F21)=0,"판정없음",IF(E21=F21,"일치",E21&amp;"→"&amp;F21))</x:f>
        <x:v>일치</x:v>
      </x:c>
      <x:c r="H21" t="str">
        <x:v>explicit_negative</x:v>
      </x:c>
      <x:c r="I21" s="9" t="str">
        <x:v>Ligamentos cruzados y colaterales dentro de límites normales.</x:v>
      </x:c>
      <x:c r="J21" s="9" t="str">
        <x:v>True</x:v>
      </x:c>
      <x:c r="K21" s="9" t="str"/>
      <x:c r="L21" t="str">
        <x:v>gemma4:e4b</x:v>
      </x:c>
    </x:row>
    <x:row r="22" ht="38" customHeight="1">
      <x:c r="A22" t="n">
        <x:v>29</x:v>
      </x:c>
      <x:c r="B22" t="str">
        <x:v>1.2.826.0.1.3680043.8.498.10095687747295410396510538520594649149</x:v>
      </x:c>
      <x:c r="C22" t="str">
        <x:v>Spanish</x:v>
      </x:c>
      <x:c r="D22" t="str">
        <x:v>Baker's</x:v>
      </x:c>
      <x:c r="E22" s="21" t="n">
        <x:v>0</x:v>
      </x:c>
      <x:c r="F22" s="21" t="n">
        <x:v>0</x:v>
      </x:c>
      <x:c r="G22" s="21" t="str">
        <x:f>IF(COUNT(F22)=0,"판정없음",IF(E22=F22,"일치",E22&amp;"→"&amp;F22))</x:f>
        <x:v>일치</x:v>
      </x:c>
      <x:c r="H22" t="str">
        <x:v>explicit_negative</x:v>
      </x:c>
      <x:c r="I22" s="9" t="str">
        <x:v>No hay quistes poplíteos patológicos.</x:v>
      </x:c>
      <x:c r="J22" s="9" t="str">
        <x:v>True</x:v>
      </x:c>
      <x:c r="K22" s="9" t="str"/>
      <x:c r="L22" t="str">
        <x:v>gemma4:e4b</x:v>
      </x:c>
    </x:row>
    <x:row r="23" ht="38" customHeight="1">
      <x:c r="A23" t="n">
        <x:v>29</x:v>
      </x:c>
      <x:c r="B23" t="str">
        <x:v>1.2.826.0.1.3680043.8.498.10095687747295410396510538520594649149</x:v>
      </x:c>
      <x:c r="C23" t="str">
        <x:v>Spanish</x:v>
      </x:c>
      <x:c r="D23" t="str">
        <x:v>Contusion</x:v>
      </x:c>
      <x:c r="E23" s="21" t="n">
        <x:v>0</x:v>
      </x:c>
      <x:c r="F23" s="21" t="n">
        <x:v>0</x:v>
      </x:c>
      <x:c r="G23" s="21" t="str">
        <x:f>IF(COUNT(F23)=0,"판정없음",IF(E23=F23,"일치",E23&amp;"→"&amp;F23))</x:f>
        <x:v>일치</x:v>
      </x:c>
      <x:c r="H23" t="str">
        <x:v>explicit_negative</x:v>
      </x:c>
      <x:c r="I23" s="9" t="str">
        <x:v>No hay alteraciones de señal significativas de la médula ósea.</x:v>
      </x:c>
      <x:c r="J23" s="9" t="str">
        <x:v>True</x:v>
      </x:c>
      <x:c r="K23" s="9" t="str"/>
      <x:c r="L23" t="str">
        <x:v>gemma4:e4b</x:v>
      </x:c>
    </x:row>
    <x:row r="24" ht="38" customHeight="1">
      <x:c r="A24" t="n">
        <x:v>29</x:v>
      </x:c>
      <x:c r="B24" t="str">
        <x:v>1.2.826.0.1.3680043.8.498.10095687747295410396510538520594649149</x:v>
      </x:c>
      <x:c r="C24" t="str">
        <x:v>Spanish</x:v>
      </x:c>
      <x:c r="D24" t="str">
        <x:v>Effusion</x:v>
      </x:c>
      <x:c r="E24" s="21" t="n">
        <x:v>1</x:v>
      </x:c>
      <x:c r="F24" s="21" t="n">
        <x:v>1</x:v>
      </x:c>
      <x:c r="G24" s="21" t="str">
        <x:f>IF(COUNT(F24)=0,"판정없음",IF(E24=F24,"일치",E24&amp;"→"&amp;F24))</x:f>
        <x:v>일치</x:v>
      </x:c>
      <x:c r="H24" t="str">
        <x:v>explicit_positive</x:v>
      </x:c>
      <x:c r="I24" s="9" t="str">
        <x:v>Leve derrame articular.</x:v>
      </x:c>
      <x:c r="J24" s="9" t="str">
        <x:v>True</x:v>
      </x:c>
      <x:c r="K24" s="9" t="str"/>
      <x:c r="L24" t="str">
        <x:v>gemma4:e4b</x:v>
      </x:c>
    </x:row>
    <x:row r="25" ht="38" customHeight="1">
      <x:c r="A25" t="n">
        <x:v>29</x:v>
      </x:c>
      <x:c r="B25" t="str">
        <x:v>1.2.826.0.1.3680043.8.498.10095687747295410396510538520594649149</x:v>
      </x:c>
      <x:c r="C25" t="str">
        <x:v>Spanish</x:v>
      </x:c>
      <x:c r="D25" t="str">
        <x:v>Fracture</x:v>
      </x:c>
      <x:c r="E25" s="21" t="n">
        <x:v>0</x:v>
      </x:c>
      <x:c r="F25" s="21"/>
      <x:c r="G25" s="21" t="str">
        <x:f>IF(COUNT(F25)=0,"판정없음",IF(E25=F25,"일치",E25&amp;"→"&amp;F25))</x:f>
        <x:v>판정없음</x:v>
      </x:c>
      <x:c r="H25" t="str">
        <x:v>not_mentioned</x:v>
      </x:c>
      <x:c r="I25" s="9" t="str"/>
      <x:c r="J25" s="9" t="str">
        <x:v>True</x:v>
      </x:c>
      <x:c r="K25" s="9" t="str"/>
      <x:c r="L25" t="str">
        <x:v>gemma4:e4b</x:v>
      </x:c>
    </x:row>
    <x:row r="26" ht="38" customHeight="1">
      <x:c r="A26" t="n">
        <x:v>29</x:v>
      </x:c>
      <x:c r="B26" t="str">
        <x:v>1.2.826.0.1.3680043.8.498.10095687747295410396510538520594649149</x:v>
      </x:c>
      <x:c r="C26" t="str">
        <x:v>Spanish</x:v>
      </x:c>
      <x:c r="D26" t="str">
        <x:v>Lateral Meniscus</x:v>
      </x:c>
      <x:c r="E26" s="21" t="n">
        <x:v>0</x:v>
      </x:c>
      <x:c r="F26" s="21" t="n">
        <x:v>1</x:v>
      </x:c>
      <x:c r="G26" s="21" t="str">
        <x:f>IF(COUNT(F26)=0,"판정없음",IF(E26=F26,"일치",E26&amp;"→"&amp;F26))</x:f>
        <x:v>0→1</x:v>
      </x:c>
      <x:c r="H26" t="str">
        <x:v>explicit_positive</x:v>
      </x:c>
      <x:c r="I26" s="9" t="str">
        <x:v>Amputación marginal del cuerpo del menisco lateral.</x:v>
      </x:c>
      <x:c r="J26" s="9" t="str">
        <x:v>True</x:v>
      </x:c>
      <x:c r="K26" s="9" t="str"/>
      <x:c r="L26" t="str">
        <x:v>gemma4:e4b</x:v>
      </x:c>
    </x:row>
    <x:row r="27" ht="38" customHeight="1">
      <x:c r="A27" t="n">
        <x:v>29</x:v>
      </x:c>
      <x:c r="B27" t="str">
        <x:v>1.2.826.0.1.3680043.8.498.10095687747295410396510538520594649149</x:v>
      </x:c>
      <x:c r="C27" t="str">
        <x:v>Spanish</x:v>
      </x:c>
      <x:c r="D27" t="str">
        <x:v>Lateral OA</x:v>
      </x:c>
      <x:c r="E27" s="21" t="n">
        <x:v>0</x:v>
      </x:c>
      <x:c r="F27" s="21"/>
      <x:c r="G27" s="21" t="str">
        <x:f>IF(COUNT(F27)=0,"판정없음",IF(E27=F27,"일치",E27&amp;"→"&amp;F27))</x:f>
        <x:v>판정없음</x:v>
      </x:c>
      <x:c r="H27" t="str">
        <x:v>not_mentioned</x:v>
      </x:c>
      <x:c r="I27" s="9" t="str"/>
      <x:c r="J27" s="9" t="str">
        <x:v>True</x:v>
      </x:c>
      <x:c r="K27" s="9" t="str"/>
      <x:c r="L27" t="str">
        <x:v>gemma4:e4b</x:v>
      </x:c>
    </x:row>
    <x:row r="28" ht="38" customHeight="1">
      <x:c r="A28" t="n">
        <x:v>29</x:v>
      </x:c>
      <x:c r="B28" t="str">
        <x:v>1.2.826.0.1.3680043.8.498.10095687747295410396510538520594649149</x:v>
      </x:c>
      <x:c r="C28" t="str">
        <x:v>Spanish</x:v>
      </x:c>
      <x:c r="D28" t="str">
        <x:v>MCL</x:v>
      </x:c>
      <x:c r="E28" s="21" t="n">
        <x:v>0</x:v>
      </x:c>
      <x:c r="F28" s="21" t="n">
        <x:v>0</x:v>
      </x:c>
      <x:c r="G28" s="21" t="str">
        <x:f>IF(COUNT(F28)=0,"판정없음",IF(E28=F28,"일치",E28&amp;"→"&amp;F28))</x:f>
        <x:v>일치</x:v>
      </x:c>
      <x:c r="H28" t="str">
        <x:v>explicit_negative</x:v>
      </x:c>
      <x:c r="I28" s="9" t="str">
        <x:v>Ligamentos cruzados y colaterales dentro de límites normales.</x:v>
      </x:c>
      <x:c r="J28" s="9" t="str">
        <x:v>True</x:v>
      </x:c>
      <x:c r="K28" s="9" t="str"/>
      <x:c r="L28" t="str">
        <x:v>gemma4:e4b</x:v>
      </x:c>
    </x:row>
    <x:row r="29" ht="38" customHeight="1">
      <x:c r="A29" t="n">
        <x:v>29</x:v>
      </x:c>
      <x:c r="B29" t="str">
        <x:v>1.2.826.0.1.3680043.8.498.10095687747295410396510538520594649149</x:v>
      </x:c>
      <x:c r="C29" t="str">
        <x:v>Spanish</x:v>
      </x:c>
      <x:c r="D29" t="str">
        <x:v>Medial Meniscus</x:v>
      </x:c>
      <x:c r="E29" s="21" t="n">
        <x:v>0</x:v>
      </x:c>
      <x:c r="F29" s="21" t="n">
        <x:v>0</x:v>
      </x:c>
      <x:c r="G29" s="21" t="str">
        <x:f>IF(COUNT(F29)=0,"판정없음",IF(E29=F29,"일치",E29&amp;"→"&amp;F29))</x:f>
        <x:v>일치</x:v>
      </x:c>
      <x:c r="H29" t="str">
        <x:v>explicit_negative</x:v>
      </x:c>
      <x:c r="I29" s="9" t="str">
        <x:v>Menisco medial de morfología y señal conservada, sin signos de rotura.</x:v>
      </x:c>
      <x:c r="J29" s="9" t="str">
        <x:v>True</x:v>
      </x:c>
      <x:c r="K29" s="9" t="str"/>
      <x:c r="L29" t="str">
        <x:v>gemma4:e4b</x:v>
      </x:c>
    </x:row>
    <x:row r="30" ht="38" customHeight="1">
      <x:c r="A30" t="n">
        <x:v>29</x:v>
      </x:c>
      <x:c r="B30" t="str">
        <x:v>1.2.826.0.1.3680043.8.498.10095687747295410396510538520594649149</x:v>
      </x:c>
      <x:c r="C30" t="str">
        <x:v>Spanish</x:v>
      </x:c>
      <x:c r="D30" t="str">
        <x:v>Medial OA</x:v>
      </x:c>
      <x:c r="E30" s="21" t="n">
        <x:v>0</x:v>
      </x:c>
      <x:c r="F30" s="21"/>
      <x:c r="G30" s="21" t="str">
        <x:f>IF(COUNT(F30)=0,"판정없음",IF(E30=F30,"일치",E30&amp;"→"&amp;F30))</x:f>
        <x:v>판정없음</x:v>
      </x:c>
      <x:c r="H30" t="str">
        <x:v>uncertain_or_indirect</x:v>
      </x:c>
      <x:c r="I30" s="9" t="str">
        <x:v>Condropatía focal grado 4 del aspecto inferior de la vertiente medial de la tróclea femoral</x:v>
      </x:c>
      <x:c r="J30" s="9" t="str">
        <x:v>True</x:v>
      </x:c>
      <x:c r="K30" s="9" t="str">
        <x:v>aspecto inferior de la vertiente medial de la tróclea femoral</x:v>
      </x:c>
      <x:c r="L30" t="str">
        <x:v>gemma4:e4b</x:v>
      </x:c>
    </x:row>
    <x:row r="31" ht="38" customHeight="1">
      <x:c r="A31" t="n">
        <x:v>29</x:v>
      </x:c>
      <x:c r="B31" t="str">
        <x:v>1.2.826.0.1.3680043.8.498.10095687747295410396510538520594649149</x:v>
      </x:c>
      <x:c r="C31" t="str">
        <x:v>Spanish</x:v>
      </x:c>
      <x:c r="D31" t="str">
        <x:v>PF OA</x:v>
      </x:c>
      <x:c r="E31" s="21" t="n">
        <x:v>1</x:v>
      </x:c>
      <x:c r="F31" s="21"/>
      <x:c r="G31" s="21" t="str">
        <x:f>IF(COUNT(F31)=0,"판정없음",IF(E31=F31,"일치",E31&amp;"→"&amp;F31))</x:f>
        <x:v>판정없음</x:v>
      </x:c>
      <x:c r="H31" t="str">
        <x:v>uncertain_or_indirect</x:v>
      </x:c>
      <x:c r="I31" s="9" t="str">
        <x:v>Condropatía focal grado 4 del aspecto inferior de la vertiente medial de la tróclea femoral</x:v>
      </x:c>
      <x:c r="J31" s="9" t="str">
        <x:v>True</x:v>
      </x:c>
      <x:c r="K31" s="9" t="str">
        <x:v>aspecto inferior de la vertiente medial de la tróclea femoral</x:v>
      </x:c>
      <x:c r="L31" t="str">
        <x:v>gemma4:e4b</x:v>
      </x:c>
    </x:row>
    <x:row r="32" ht="38" customHeight="1">
      <x:c r="A32" t="n">
        <x:v>29</x:v>
      </x:c>
      <x:c r="B32" t="str">
        <x:v>1.2.826.0.1.3680043.8.498.10095687747295410396510538520594649149</x:v>
      </x:c>
      <x:c r="C32" t="str">
        <x:v>Spanish</x:v>
      </x:c>
      <x:c r="D32" t="str">
        <x:v>Synovitis</x:v>
      </x:c>
      <x:c r="E32" s="21" t="n">
        <x:v>0</x:v>
      </x:c>
      <x:c r="F32" s="21"/>
      <x:c r="G32" s="21" t="str">
        <x:f>IF(COUNT(F32)=0,"판정없음",IF(E32=F32,"일치",E32&amp;"→"&amp;F32))</x:f>
        <x:v>판정없음</x:v>
      </x:c>
      <x:c r="H32" t="str">
        <x:v>not_mentioned</x:v>
      </x:c>
      <x:c r="I32" s="9" t="str"/>
      <x:c r="J32" s="9" t="str">
        <x:v>True</x:v>
      </x:c>
      <x:c r="K32" s="9" t="str"/>
      <x:c r="L32" t="str">
        <x:v>gemma4:e4b</x:v>
      </x:c>
    </x:row>
    <x:row r="33" ht="38" customHeight="1">
      <x:c r="A33" t="n">
        <x:v>63</x:v>
      </x:c>
      <x:c r="B33" t="str">
        <x:v>1.2.826.0.1.3680043.8.498.10170898615867673028696505248839028269</x:v>
      </x:c>
      <x:c r="C33" t="str">
        <x:v>English</x:v>
      </x:c>
      <x:c r="D33" t="str">
        <x:v>ACL</x:v>
      </x:c>
      <x:c r="E33" s="21" t="n">
        <x:v>0</x:v>
      </x:c>
      <x:c r="F33" s="21" t="n">
        <x:v>0</x:v>
      </x:c>
      <x:c r="G33" s="21" t="str">
        <x:f>IF(COUNT(F33)=0,"판정없음",IF(E33=F33,"일치",E33&amp;"→"&amp;F33))</x:f>
        <x:v>일치</x:v>
      </x:c>
      <x:c r="H33" t="str">
        <x:v>explicit_negative</x:v>
      </x:c>
      <x:c r="I33" s="9" t="str">
        <x:v>ACL is intact</x:v>
      </x:c>
      <x:c r="J33" s="9" t="str">
        <x:v>True</x:v>
      </x:c>
      <x:c r="K33" s="9" t="str"/>
      <x:c r="L33" t="str">
        <x:v>gemma4:e4b</x:v>
      </x:c>
    </x:row>
    <x:row r="34" ht="38" customHeight="1">
      <x:c r="A34" t="n">
        <x:v>63</x:v>
      </x:c>
      <x:c r="B34" t="str">
        <x:v>1.2.826.0.1.3680043.8.498.10170898615867673028696505248839028269</x:v>
      </x:c>
      <x:c r="C34" t="str">
        <x:v>English</x:v>
      </x:c>
      <x:c r="D34" t="str">
        <x:v>Baker's</x:v>
      </x:c>
      <x:c r="E34" s="21" t="n">
        <x:v>0</x:v>
      </x:c>
      <x:c r="F34" s="21"/>
      <x:c r="G34" s="21" t="str">
        <x:f>IF(COUNT(F34)=0,"판정없음",IF(E34=F34,"일치",E34&amp;"→"&amp;F34))</x:f>
        <x:v>판정없음</x:v>
      </x:c>
      <x:c r="H34" t="str">
        <x:v>not_mentioned</x:v>
      </x:c>
      <x:c r="I34" s="9" t="str"/>
      <x:c r="J34" s="9" t="str">
        <x:v>True</x:v>
      </x:c>
      <x:c r="K34" s="9" t="str"/>
      <x:c r="L34" t="str">
        <x:v>gemma4:e4b</x:v>
      </x:c>
    </x:row>
    <x:row r="35" ht="38" customHeight="1">
      <x:c r="A35" t="n">
        <x:v>63</x:v>
      </x:c>
      <x:c r="B35" t="str">
        <x:v>1.2.826.0.1.3680043.8.498.10170898615867673028696505248839028269</x:v>
      </x:c>
      <x:c r="C35" t="str">
        <x:v>English</x:v>
      </x:c>
      <x:c r="D35" t="str">
        <x:v>Contusion</x:v>
      </x:c>
      <x:c r="E35" s="21" t="n">
        <x:v>0</x:v>
      </x:c>
      <x:c r="F35" s="21" t="n">
        <x:v>1</x:v>
      </x:c>
      <x:c r="G35" s="21" t="str">
        <x:f>IF(COUNT(F35)=0,"판정없음",IF(E35=F35,"일치",E35&amp;"→"&amp;F35))</x:f>
        <x:v>0→1</x:v>
      </x:c>
      <x:c r="H35" t="str">
        <x:v>explicit_positive</x:v>
      </x:c>
      <x:c r="I35" s="9" t="str">
        <x:v>Osteochondral fracture at lateral patellar facet, about 8x12mm. with dislodge OCD fragment.</x:v>
      </x:c>
      <x:c r="J35" s="9" t="str">
        <x:v>True</x:v>
      </x:c>
      <x:c r="K35" s="9" t="str">
        <x:v>bone contusion</x:v>
      </x:c>
      <x:c r="L35" t="str">
        <x:v>gemma4:e4b</x:v>
      </x:c>
    </x:row>
    <x:row r="36" ht="38" customHeight="1">
      <x:c r="A36" t="n">
        <x:v>63</x:v>
      </x:c>
      <x:c r="B36" t="str">
        <x:v>1.2.826.0.1.3680043.8.498.10170898615867673028696505248839028269</x:v>
      </x:c>
      <x:c r="C36" t="str">
        <x:v>English</x:v>
      </x:c>
      <x:c r="D36" t="str">
        <x:v>Effusion</x:v>
      </x:c>
      <x:c r="E36" s="21" t="n">
        <x:v>0</x:v>
      </x:c>
      <x:c r="F36" s="21" t="n">
        <x:v>1</x:v>
      </x:c>
      <x:c r="G36" s="21" t="str">
        <x:f>IF(COUNT(F36)=0,"판정없음",IF(E36=F36,"일치",E36&amp;"→"&amp;F36))</x:f>
        <x:v>0→1</x:v>
      </x:c>
      <x:c r="H36" t="str">
        <x:v>explicit_positive</x:v>
      </x:c>
      <x:c r="I36" s="9" t="str">
        <x:v>Moderate joint effusion, distended suprapatellar bursa with thickend synovial tissue are observed</x:v>
      </x:c>
      <x:c r="J36" s="9" t="str">
        <x:v>True</x:v>
      </x:c>
      <x:c r="K36" s="9" t="str"/>
      <x:c r="L36" t="str">
        <x:v>gemma4:e4b</x:v>
      </x:c>
    </x:row>
    <x:row r="37" ht="38" customHeight="1">
      <x:c r="A37" t="n">
        <x:v>63</x:v>
      </x:c>
      <x:c r="B37" t="str">
        <x:v>1.2.826.0.1.3680043.8.498.10170898615867673028696505248839028269</x:v>
      </x:c>
      <x:c r="C37" t="str">
        <x:v>English</x:v>
      </x:c>
      <x:c r="D37" t="str">
        <x:v>Fracture</x:v>
      </x:c>
      <x:c r="E37" s="21" t="n">
        <x:v>0</x:v>
      </x:c>
      <x:c r="F37" s="21" t="n">
        <x:v>1</x:v>
      </x:c>
      <x:c r="G37" s="21" t="str">
        <x:f>IF(COUNT(F37)=0,"판정없음",IF(E37=F37,"일치",E37&amp;"→"&amp;F37))</x:f>
        <x:v>0→1</x:v>
      </x:c>
      <x:c r="H37" t="str">
        <x:v>explicit_positive</x:v>
      </x:c>
      <x:c r="I37" s="9" t="str">
        <x:v>No fracture is seen.</x:v>
      </x:c>
      <x:c r="J37" s="9" t="str">
        <x:v>True</x:v>
      </x:c>
      <x:c r="K37" s="9" t="str">
        <x:v>No fracture</x:v>
      </x:c>
      <x:c r="L37" t="str">
        <x:v>gemma4:e4b</x:v>
      </x:c>
    </x:row>
    <x:row r="38" ht="38" customHeight="1">
      <x:c r="A38" t="n">
        <x:v>63</x:v>
      </x:c>
      <x:c r="B38" t="str">
        <x:v>1.2.826.0.1.3680043.8.498.10170898615867673028696505248839028269</x:v>
      </x:c>
      <x:c r="C38" t="str">
        <x:v>English</x:v>
      </x:c>
      <x:c r="D38" t="str">
        <x:v>Lateral Meniscus</x:v>
      </x:c>
      <x:c r="E38" s="21" t="n">
        <x:v>1</x:v>
      </x:c>
      <x:c r="F38" s="21" t="n">
        <x:v>1</x:v>
      </x:c>
      <x:c r="G38" s="21" t="str">
        <x:f>IF(COUNT(F38)=0,"판정없음",IF(E38=F38,"일치",E38&amp;"→"&amp;F38))</x:f>
        <x:v>일치</x:v>
      </x:c>
      <x:c r="H38" t="str">
        <x:v>explicit_positive</x:v>
      </x:c>
      <x:c r="I38" s="9" t="str">
        <x:v>Horizontal tear at anterior horn of the lateral meniscus is noted</x:v>
      </x:c>
      <x:c r="J38" s="9" t="str">
        <x:v>True</x:v>
      </x:c>
      <x:c r="K38" s="9" t="str"/>
      <x:c r="L38" t="str">
        <x:v>gemma4:e4b</x:v>
      </x:c>
    </x:row>
    <x:row r="39" ht="38" customHeight="1">
      <x:c r="A39" t="n">
        <x:v>63</x:v>
      </x:c>
      <x:c r="B39" t="str">
        <x:v>1.2.826.0.1.3680043.8.498.10170898615867673028696505248839028269</x:v>
      </x:c>
      <x:c r="C39" t="str">
        <x:v>English</x:v>
      </x:c>
      <x:c r="D39" t="str">
        <x:v>Lateral OA</x:v>
      </x:c>
      <x:c r="E39" s="21" t="n">
        <x:v>0</x:v>
      </x:c>
      <x:c r="F39" s="21"/>
      <x:c r="G39" s="21" t="str">
        <x:f>IF(COUNT(F39)=0,"판정없음",IF(E39=F39,"일치",E39&amp;"→"&amp;F39))</x:f>
        <x:v>판정없음</x:v>
      </x:c>
      <x:c r="H39" t="str">
        <x:v>uncertain_or_indirect</x:v>
      </x:c>
      <x:c r="I39" s="9" t="str">
        <x:v>Focal osteochondral defect at lateral patellar facet, about 8x12mm. with subchondral bone edema is detected</x:v>
      </x:c>
      <x:c r="J39" s="9" t="str">
        <x:v>True</x:v>
      </x:c>
      <x:c r="K39" s="9" t="str">
        <x:v>lateral patellar facet</x:v>
      </x:c>
      <x:c r="L39" t="str">
        <x:v>gemma4:e4b</x:v>
      </x:c>
    </x:row>
    <x:row r="40" ht="38" customHeight="1">
      <x:c r="A40" t="n">
        <x:v>63</x:v>
      </x:c>
      <x:c r="B40" t="str">
        <x:v>1.2.826.0.1.3680043.8.498.10170898615867673028696505248839028269</x:v>
      </x:c>
      <x:c r="C40" t="str">
        <x:v>English</x:v>
      </x:c>
      <x:c r="D40" t="str">
        <x:v>MCL</x:v>
      </x:c>
      <x:c r="E40" s="21" t="n">
        <x:v>0</x:v>
      </x:c>
      <x:c r="F40" s="21" t="n">
        <x:v>0</x:v>
      </x:c>
      <x:c r="G40" s="21" t="str">
        <x:f>IF(COUNT(F40)=0,"판정없음",IF(E40=F40,"일치",E40&amp;"→"&amp;F40))</x:f>
        <x:v>일치</x:v>
      </x:c>
      <x:c r="H40" t="str">
        <x:v>explicit_negative</x:v>
      </x:c>
      <x:c r="I40" s="9" t="str">
        <x:v>The MCL is intact</x:v>
      </x:c>
      <x:c r="J40" s="9" t="str">
        <x:v>True</x:v>
      </x:c>
      <x:c r="K40" s="9" t="str"/>
      <x:c r="L40" t="str">
        <x:v>gemma4:e4b</x:v>
      </x:c>
    </x:row>
    <x:row r="41" ht="38" customHeight="1">
      <x:c r="A41" t="n">
        <x:v>63</x:v>
      </x:c>
      <x:c r="B41" t="str">
        <x:v>1.2.826.0.1.3680043.8.498.10170898615867673028696505248839028269</x:v>
      </x:c>
      <x:c r="C41" t="str">
        <x:v>English</x:v>
      </x:c>
      <x:c r="D41" t="str">
        <x:v>Medial Meniscus</x:v>
      </x:c>
      <x:c r="E41" s="21" t="n">
        <x:v>0</x:v>
      </x:c>
      <x:c r="F41" s="21" t="n">
        <x:v>0</x:v>
      </x:c>
      <x:c r="G41" s="21" t="str">
        <x:f>IF(COUNT(F41)=0,"판정없음",IF(E41=F41,"일치",E41&amp;"→"&amp;F41))</x:f>
        <x:v>일치</x:v>
      </x:c>
      <x:c r="H41" t="str">
        <x:v>explicit_negative</x:v>
      </x:c>
      <x:c r="I41" s="9" t="str">
        <x:v>Medial meniscus is not torn</x:v>
      </x:c>
      <x:c r="J41" s="9" t="str">
        <x:v>True</x:v>
      </x:c>
      <x:c r="K41" s="9" t="str"/>
      <x:c r="L41" t="str">
        <x:v>gemma4:e4b</x:v>
      </x:c>
    </x:row>
    <x:row r="42" ht="38" customHeight="1">
      <x:c r="A42" t="n">
        <x:v>63</x:v>
      </x:c>
      <x:c r="B42" t="str">
        <x:v>1.2.826.0.1.3680043.8.498.10170898615867673028696505248839028269</x:v>
      </x:c>
      <x:c r="C42" t="str">
        <x:v>English</x:v>
      </x:c>
      <x:c r="D42" t="str">
        <x:v>Medial OA</x:v>
      </x:c>
      <x:c r="E42" s="21" t="n">
        <x:v>0</x:v>
      </x:c>
      <x:c r="F42" s="21"/>
      <x:c r="G42" s="21" t="str">
        <x:f>IF(COUNT(F42)=0,"판정없음",IF(E42=F42,"일치",E42&amp;"→"&amp;F42))</x:f>
        <x:v>판정없음</x:v>
      </x:c>
      <x:c r="H42" t="str">
        <x:v>not_mentioned</x:v>
      </x:c>
      <x:c r="I42" s="9" t="str"/>
      <x:c r="J42" s="9" t="str">
        <x:v>True</x:v>
      </x:c>
      <x:c r="K42" s="9" t="str"/>
      <x:c r="L42" t="str">
        <x:v>gemma4:e4b</x:v>
      </x:c>
    </x:row>
    <x:row r="43" ht="38" customHeight="1">
      <x:c r="A43" t="n">
        <x:v>63</x:v>
      </x:c>
      <x:c r="B43" t="str">
        <x:v>1.2.826.0.1.3680043.8.498.10170898615867673028696505248839028269</x:v>
      </x:c>
      <x:c r="C43" t="str">
        <x:v>English</x:v>
      </x:c>
      <x:c r="D43" t="str">
        <x:v>PF OA</x:v>
      </x:c>
      <x:c r="E43" s="21" t="n">
        <x:v>1</x:v>
      </x:c>
      <x:c r="F43" s="21"/>
      <x:c r="G43" s="21" t="str">
        <x:f>IF(COUNT(F43)=0,"판정없음",IF(E43=F43,"일치",E43&amp;"→"&amp;F43))</x:f>
        <x:v>판정없음</x:v>
      </x:c>
      <x:c r="H43" t="str">
        <x:v>uncertain_or_indirect</x:v>
      </x:c>
      <x:c r="I43" s="9" t="str">
        <x:v>Full thickness cartilage defect, 1.2x1.5cm. at lateral trochlea with subchondral bone edema is noted</x:v>
      </x:c>
      <x:c r="J43" s="9" t="str">
        <x:v>True</x:v>
      </x:c>
      <x:c r="K43" s="9" t="str">
        <x:v>patellofemoral</x:v>
      </x:c>
      <x:c r="L43" t="str">
        <x:v>gemma4:e4b</x:v>
      </x:c>
    </x:row>
    <x:row r="44" ht="38" customHeight="1">
      <x:c r="A44" t="n">
        <x:v>63</x:v>
      </x:c>
      <x:c r="B44" t="str">
        <x:v>1.2.826.0.1.3680043.8.498.10170898615867673028696505248839028269</x:v>
      </x:c>
      <x:c r="C44" t="str">
        <x:v>English</x:v>
      </x:c>
      <x:c r="D44" t="str">
        <x:v>Synovitis</x:v>
      </x:c>
      <x:c r="E44" s="21" t="n">
        <x:v>1</x:v>
      </x:c>
      <x:c r="F44" s="21" t="n">
        <x:v>1</x:v>
      </x:c>
      <x:c r="G44" s="21" t="str">
        <x:f>IF(COUNT(F44)=0,"판정없음",IF(E44=F44,"일치",E44&amp;"→"&amp;F44))</x:f>
        <x:v>일치</x:v>
      </x:c>
      <x:c r="H44" t="str">
        <x:v>explicit_positive</x:v>
      </x:c>
      <x:c r="I44" s="9" t="str">
        <x:v>Chronic reactive synovitis, suprapatellar bursitis</x:v>
      </x:c>
      <x:c r="J44" s="9" t="str">
        <x:v>True</x:v>
      </x:c>
      <x:c r="K44" s="9" t="str"/>
      <x:c r="L44" t="str">
        <x:v>gemma4:e4b</x:v>
      </x:c>
    </x:row>
    <x:row r="45" ht="38" customHeight="1">
      <x:c r="A45" t="n">
        <x:v>109</x:v>
      </x:c>
      <x:c r="B45" t="str">
        <x:v>1.2.826.0.1.3680043.8.498.10306159113324811538703788080836752052</x:v>
      </x:c>
      <x:c r="C45" t="str">
        <x:v>English</x:v>
      </x:c>
      <x:c r="D45" t="str">
        <x:v>ACL</x:v>
      </x:c>
      <x:c r="E45" s="21" t="n">
        <x:v>0</x:v>
      </x:c>
      <x:c r="F45" s="21" t="n">
        <x:v>0</x:v>
      </x:c>
      <x:c r="G45" s="21" t="str">
        <x:f>IF(COUNT(F45)=0,"판정없음",IF(E45=F45,"일치",E45&amp;"→"&amp;F45))</x:f>
        <x:v>일치</x:v>
      </x:c>
      <x:c r="H45" t="str">
        <x:v>explicit_negative</x:v>
      </x:c>
      <x:c r="I45" s="9" t="str">
        <x:v>Normal with both bundles intact</x:v>
      </x:c>
      <x:c r="J45" s="9" t="str">
        <x:v>True</x:v>
      </x:c>
      <x:c r="K45" s="9" t="str"/>
      <x:c r="L45" t="str">
        <x:v>gemma4:e4b</x:v>
      </x:c>
    </x:row>
    <x:row r="46" ht="38" customHeight="1">
      <x:c r="A46" t="n">
        <x:v>109</x:v>
      </x:c>
      <x:c r="B46" t="str">
        <x:v>1.2.826.0.1.3680043.8.498.10306159113324811538703788080836752052</x:v>
      </x:c>
      <x:c r="C46" t="str">
        <x:v>English</x:v>
      </x:c>
      <x:c r="D46" t="str">
        <x:v>Baker's</x:v>
      </x:c>
      <x:c r="E46" s="21" t="n">
        <x:v>0</x:v>
      </x:c>
      <x:c r="F46" s="21" t="n">
        <x:v>0</x:v>
      </x:c>
      <x:c r="G46" s="21" t="str">
        <x:f>IF(COUNT(F46)=0,"판정없음",IF(E46=F46,"일치",E46&amp;"→"&amp;F46))</x:f>
        <x:v>일치</x:v>
      </x:c>
      <x:c r="H46" t="str">
        <x:v>explicit_negative</x:v>
      </x:c>
      <x:c r="I46" s="9" t="str">
        <x:v>No Baker's cyst</x:v>
      </x:c>
      <x:c r="J46" s="9" t="str">
        <x:v>True</x:v>
      </x:c>
      <x:c r="K46" s="9" t="str"/>
      <x:c r="L46" t="str">
        <x:v>gemma4:e4b</x:v>
      </x:c>
    </x:row>
    <x:row r="47" ht="38" customHeight="1">
      <x:c r="A47" t="n">
        <x:v>109</x:v>
      </x:c>
      <x:c r="B47" t="str">
        <x:v>1.2.826.0.1.3680043.8.498.10306159113324811538703788080836752052</x:v>
      </x:c>
      <x:c r="C47" t="str">
        <x:v>English</x:v>
      </x:c>
      <x:c r="D47" t="str">
        <x:v>Contusion</x:v>
      </x:c>
      <x:c r="E47" s="21" t="n">
        <x:v>0</x:v>
      </x:c>
      <x:c r="F47" s="21" t="n">
        <x:v>0</x:v>
      </x:c>
      <x:c r="G47" s="21" t="str">
        <x:f>IF(COUNT(F47)=0,"판정없음",IF(E47=F47,"일치",E47&amp;"→"&amp;F47))</x:f>
        <x:v>일치</x:v>
      </x:c>
      <x:c r="H47" t="str">
        <x:v>explicit_negative</x:v>
      </x:c>
      <x:c r="I47" s="9" t="str">
        <x:v>No acute fracture or bone bruise</x:v>
      </x:c>
      <x:c r="J47" s="9" t="str">
        <x:v>True</x:v>
      </x:c>
      <x:c r="K47" s="9" t="str"/>
      <x:c r="L47" t="str">
        <x:v>gemma4:e4b</x:v>
      </x:c>
    </x:row>
    <x:row r="48" ht="38" customHeight="1">
      <x:c r="A48" t="n">
        <x:v>109</x:v>
      </x:c>
      <x:c r="B48" t="str">
        <x:v>1.2.826.0.1.3680043.8.498.10306159113324811538703788080836752052</x:v>
      </x:c>
      <x:c r="C48" t="str">
        <x:v>English</x:v>
      </x:c>
      <x:c r="D48" t="str">
        <x:v>Effusion</x:v>
      </x:c>
      <x:c r="E48" s="21" t="n">
        <x:v>0</x:v>
      </x:c>
      <x:c r="F48" s="21" t="n">
        <x:v>1</x:v>
      </x:c>
      <x:c r="G48" s="21" t="str">
        <x:f>IF(COUNT(F48)=0,"판정없음",IF(E48=F48,"일치",E48&amp;"→"&amp;F48))</x:f>
        <x:v>0→1</x:v>
      </x:c>
      <x:c r="H48" t="str">
        <x:v>explicit_positive</x:v>
      </x:c>
      <x:c r="I48" s="9" t="str">
        <x:v>Small joint effusion</x:v>
      </x:c>
      <x:c r="J48" s="9" t="str">
        <x:v>True</x:v>
      </x:c>
      <x:c r="K48" s="9" t="str"/>
      <x:c r="L48" t="str">
        <x:v>gemma4:e4b</x:v>
      </x:c>
    </x:row>
    <x:row r="49" ht="38" customHeight="1">
      <x:c r="A49" t="n">
        <x:v>109</x:v>
      </x:c>
      <x:c r="B49" t="str">
        <x:v>1.2.826.0.1.3680043.8.498.10306159113324811538703788080836752052</x:v>
      </x:c>
      <x:c r="C49" t="str">
        <x:v>English</x:v>
      </x:c>
      <x:c r="D49" t="str">
        <x:v>Fracture</x:v>
      </x:c>
      <x:c r="E49" s="21" t="n">
        <x:v>0</x:v>
      </x:c>
      <x:c r="F49" s="21" t="n">
        <x:v>0</x:v>
      </x:c>
      <x:c r="G49" s="21" t="str">
        <x:f>IF(COUNT(F49)=0,"판정없음",IF(E49=F49,"일치",E49&amp;"→"&amp;F49))</x:f>
        <x:v>일치</x:v>
      </x:c>
      <x:c r="H49" t="str">
        <x:v>explicit_negative</x:v>
      </x:c>
      <x:c r="I49" s="9" t="str">
        <x:v>No acute fracture or bone bruise</x:v>
      </x:c>
      <x:c r="J49" s="9" t="str">
        <x:v>True</x:v>
      </x:c>
      <x:c r="K49" s="9" t="str"/>
      <x:c r="L49" t="str">
        <x:v>gemma4:e4b</x:v>
      </x:c>
    </x:row>
    <x:row r="50" ht="38" customHeight="1">
      <x:c r="A50" t="n">
        <x:v>109</x:v>
      </x:c>
      <x:c r="B50" t="str">
        <x:v>1.2.826.0.1.3680043.8.498.10306159113324811538703788080836752052</x:v>
      </x:c>
      <x:c r="C50" t="str">
        <x:v>English</x:v>
      </x:c>
      <x:c r="D50" t="str">
        <x:v>Lateral Meniscus</x:v>
      </x:c>
      <x:c r="E50" s="21" t="n">
        <x:v>0</x:v>
      </x:c>
      <x:c r="F50" s="21"/>
      <x:c r="G50" s="21" t="str">
        <x:f>IF(COUNT(F50)=0,"판정없음",IF(E50=F50,"일치",E50&amp;"→"&amp;F50))</x:f>
        <x:v>판정없음</x:v>
      </x:c>
      <x:c r="H50" t="str">
        <x:v>uncertain_or_indirect</x:v>
      </x:c>
      <x:c r="I50" s="9" t="str">
        <x:v>Degenerative signal throughout the lateral meniscus without surfacing tear</x:v>
      </x:c>
      <x:c r="J50" s="9" t="str">
        <x:v>True</x:v>
      </x:c>
      <x:c r="K50" s="9" t="str"/>
      <x:c r="L50" t="str">
        <x:v>gemma4:e4b</x:v>
      </x:c>
    </x:row>
    <x:row r="51" ht="38" customHeight="1">
      <x:c r="A51" t="n">
        <x:v>109</x:v>
      </x:c>
      <x:c r="B51" t="str">
        <x:v>1.2.826.0.1.3680043.8.498.10306159113324811538703788080836752052</x:v>
      </x:c>
      <x:c r="C51" t="str">
        <x:v>English</x:v>
      </x:c>
      <x:c r="D51" t="str">
        <x:v>Lateral OA</x:v>
      </x:c>
      <x:c r="E51" s="21" t="n">
        <x:v>0</x:v>
      </x:c>
      <x:c r="F51" s="21"/>
      <x:c r="G51" s="21" t="str">
        <x:f>IF(COUNT(F51)=0,"판정없음",IF(E51=F51,"일치",E51&amp;"→"&amp;F51))</x:f>
        <x:v>판정없음</x:v>
      </x:c>
      <x:c r="H51" t="str">
        <x:v>not_mentioned</x:v>
      </x:c>
      <x:c r="I51" s="9" t="str"/>
      <x:c r="J51" s="9" t="str">
        <x:v>True</x:v>
      </x:c>
      <x:c r="K51" s="9" t="str"/>
      <x:c r="L51" t="str">
        <x:v>gemma4:e4b</x:v>
      </x:c>
    </x:row>
    <x:row r="52" ht="38" customHeight="1">
      <x:c r="A52" t="n">
        <x:v>109</x:v>
      </x:c>
      <x:c r="B52" t="str">
        <x:v>1.2.826.0.1.3680043.8.498.10306159113324811538703788080836752052</x:v>
      </x:c>
      <x:c r="C52" t="str">
        <x:v>English</x:v>
      </x:c>
      <x:c r="D52" t="str">
        <x:v>MCL</x:v>
      </x:c>
      <x:c r="E52" s="21" t="n">
        <x:v>0</x:v>
      </x:c>
      <x:c r="F52" s="21" t="n">
        <x:v>0</x:v>
      </x:c>
      <x:c r="G52" s="21" t="str">
        <x:f>IF(COUNT(F52)=0,"판정없음",IF(E52=F52,"일치",E52&amp;"→"&amp;F52))</x:f>
        <x:v>일치</x:v>
      </x:c>
      <x:c r="H52" t="str">
        <x:v>explicit_negative</x:v>
      </x:c>
      <x:c r="I52" s="9" t="str">
        <x:v>Normal</x:v>
      </x:c>
      <x:c r="J52" s="9" t="str">
        <x:v>True</x:v>
      </x:c>
      <x:c r="K52" s="9" t="str"/>
      <x:c r="L52" t="str">
        <x:v>gemma4:e4b</x:v>
      </x:c>
    </x:row>
    <x:row r="53" ht="38" customHeight="1">
      <x:c r="A53" t="n">
        <x:v>109</x:v>
      </x:c>
      <x:c r="B53" t="str">
        <x:v>1.2.826.0.1.3680043.8.498.10306159113324811538703788080836752052</x:v>
      </x:c>
      <x:c r="C53" t="str">
        <x:v>English</x:v>
      </x:c>
      <x:c r="D53" t="str">
        <x:v>Medial Meniscus</x:v>
      </x:c>
      <x:c r="E53" s="21" t="n">
        <x:v>1</x:v>
      </x:c>
      <x:c r="F53" s="21" t="n">
        <x:v>1</x:v>
      </x:c>
      <x:c r="G53" s="21" t="str">
        <x:f>IF(COUNT(F53)=0,"판정없음",IF(E53=F53,"일치",E53&amp;"→"&amp;F53))</x:f>
        <x:v>일치</x:v>
      </x:c>
      <x:c r="H53" t="str">
        <x:v>explicit_positive</x:v>
      </x:c>
      <x:c r="I53" s="9" t="str">
        <x:v>Extensive complete tearing of the body, posterior horn, and posterior root medial meniscus with severe extrusion</x:v>
      </x:c>
      <x:c r="J53" s="9" t="str">
        <x:v>True</x:v>
      </x:c>
      <x:c r="K53" s="9" t="str"/>
      <x:c r="L53" t="str">
        <x:v>gemma4:e4b</x:v>
      </x:c>
    </x:row>
    <x:row r="54" ht="38" customHeight="1">
      <x:c r="A54" t="n">
        <x:v>109</x:v>
      </x:c>
      <x:c r="B54" t="str">
        <x:v>1.2.826.0.1.3680043.8.498.10306159113324811538703788080836752052</x:v>
      </x:c>
      <x:c r="C54" t="str">
        <x:v>English</x:v>
      </x:c>
      <x:c r="D54" t="str">
        <x:v>Medial OA</x:v>
      </x:c>
      <x:c r="E54" s="21" t="n">
        <x:v>1</x:v>
      </x:c>
      <x:c r="F54" s="21" t="n">
        <x:v>1</x:v>
      </x:c>
      <x:c r="G54" s="21" t="str">
        <x:f>IF(COUNT(F54)=0,"판정없음",IF(E54=F54,"일치",E54&amp;"→"&amp;F54))</x:f>
        <x:v>일치</x:v>
      </x:c>
      <x:c r="H54" t="str">
        <x:v>explicit_positive</x:v>
      </x:c>
      <x:c r="I54" s="9" t="str">
        <x:v>Tricompartmental osteoarthritis worse in the medial compartment</x:v>
      </x:c>
      <x:c r="J54" s="9" t="str">
        <x:v>True</x:v>
      </x:c>
      <x:c r="K54" s="9" t="str">
        <x:v>medial femoral condyle and medial tibial plateau</x:v>
      </x:c>
      <x:c r="L54" t="str">
        <x:v>gemma4:e4b</x:v>
      </x:c>
    </x:row>
    <x:row r="55" ht="38" customHeight="1">
      <x:c r="A55" t="n">
        <x:v>109</x:v>
      </x:c>
      <x:c r="B55" t="str">
        <x:v>1.2.826.0.1.3680043.8.498.10306159113324811538703788080836752052</x:v>
      </x:c>
      <x:c r="C55" t="str">
        <x:v>English</x:v>
      </x:c>
      <x:c r="D55" t="str">
        <x:v>PF OA</x:v>
      </x:c>
      <x:c r="E55" s="21" t="n">
        <x:v>1</x:v>
      </x:c>
      <x:c r="F55" s="21" t="n">
        <x:v>1</x:v>
      </x:c>
      <x:c r="G55" s="21" t="str">
        <x:f>IF(COUNT(F55)=0,"판정없음",IF(E55=F55,"일치",E55&amp;"→"&amp;F55))</x:f>
        <x:v>일치</x:v>
      </x:c>
      <x:c r="H55" t="str">
        <x:v>explicit_positive</x:v>
      </x:c>
      <x:c r="I55" s="9" t="str">
        <x:v>High-grade cartilage loss along the medial patellar facet. High grade cartilage loss at lateral trochlea.</x:v>
      </x:c>
      <x:c r="J55" s="9" t="str">
        <x:v>True</x:v>
      </x:c>
      <x:c r="K55" s="9" t="str"/>
      <x:c r="L55" t="str">
        <x:v>gemma4:e4b</x:v>
      </x:c>
    </x:row>
    <x:row r="56" ht="38" customHeight="1">
      <x:c r="A56" t="n">
        <x:v>109</x:v>
      </x:c>
      <x:c r="B56" t="str">
        <x:v>1.2.826.0.1.3680043.8.498.10306159113324811538703788080836752052</x:v>
      </x:c>
      <x:c r="C56" t="str">
        <x:v>English</x:v>
      </x:c>
      <x:c r="D56" t="str">
        <x:v>Synovitis</x:v>
      </x:c>
      <x:c r="E56" s="21" t="n">
        <x:v>1</x:v>
      </x:c>
      <x:c r="F56" s="21"/>
      <x:c r="G56" s="21" t="str">
        <x:f>IF(COUNT(F56)=0,"판정없음",IF(E56=F56,"일치",E56&amp;"→"&amp;F56))</x:f>
        <x:v>판정없음</x:v>
      </x:c>
      <x:c r="H56" t="str">
        <x:v>not_mentioned</x:v>
      </x:c>
      <x:c r="I56" s="9" t="str"/>
      <x:c r="J56" s="9" t="str">
        <x:v>True</x:v>
      </x:c>
      <x:c r="K56" s="9" t="str"/>
      <x:c r="L56" t="str">
        <x:v>gemma4:e4b</x:v>
      </x:c>
    </x:row>
    <x:row r="57" ht="38" customHeight="1">
      <x:c r="A57" t="n">
        <x:v>445</x:v>
      </x:c>
      <x:c r="B57" t="str">
        <x:v>1.2.826.0.1.3680043.8.498.11287937729196958426538087439102017580</x:v>
      </x:c>
      <x:c r="C57" t="str">
        <x:v>English</x:v>
      </x:c>
      <x:c r="D57" t="str">
        <x:v>ACL</x:v>
      </x:c>
      <x:c r="E57" s="21" t="n">
        <x:v>0</x:v>
      </x:c>
      <x:c r="F57" s="21" t="n">
        <x:v>0</x:v>
      </x:c>
      <x:c r="G57" s="21" t="str">
        <x:f>IF(COUNT(F57)=0,"판정없음",IF(E57=F57,"일치",E57&amp;"→"&amp;F57))</x:f>
        <x:v>일치</x:v>
      </x:c>
      <x:c r="H57" t="str">
        <x:v>explicit_negative</x:v>
      </x:c>
      <x:c r="I57" s="9" t="str">
        <x:v>There is no increased intensity in the ACL, MCL and LCL, it appears to be normal</x:v>
      </x:c>
      <x:c r="J57" s="9" t="str">
        <x:v>True</x:v>
      </x:c>
      <x:c r="K57" s="9" t="str"/>
      <x:c r="L57" t="str">
        <x:v>gemma4:e4b</x:v>
      </x:c>
    </x:row>
    <x:row r="58" ht="38" customHeight="1">
      <x:c r="A58" t="n">
        <x:v>445</x:v>
      </x:c>
      <x:c r="B58" t="str">
        <x:v>1.2.826.0.1.3680043.8.498.11287937729196958426538087439102017580</x:v>
      </x:c>
      <x:c r="C58" t="str">
        <x:v>English</x:v>
      </x:c>
      <x:c r="D58" t="str">
        <x:v>Baker's</x:v>
      </x:c>
      <x:c r="E58" s="21" t="n">
        <x:v>0</x:v>
      </x:c>
      <x:c r="F58" s="21"/>
      <x:c r="G58" s="21" t="str">
        <x:f>IF(COUNT(F58)=0,"판정없음",IF(E58=F58,"일치",E58&amp;"→"&amp;F58))</x:f>
        <x:v>판정없음</x:v>
      </x:c>
      <x:c r="H58" t="str">
        <x:v>not_mentioned</x:v>
      </x:c>
      <x:c r="I58" s="9" t="str"/>
      <x:c r="J58" s="9" t="str">
        <x:v>True</x:v>
      </x:c>
      <x:c r="K58" s="9" t="str"/>
      <x:c r="L58" t="str">
        <x:v>gemma4:e4b</x:v>
      </x:c>
    </x:row>
    <x:row r="59" ht="38" customHeight="1">
      <x:c r="A59" t="n">
        <x:v>445</x:v>
      </x:c>
      <x:c r="B59" t="str">
        <x:v>1.2.826.0.1.3680043.8.498.11287937729196958426538087439102017580</x:v>
      </x:c>
      <x:c r="C59" t="str">
        <x:v>English</x:v>
      </x:c>
      <x:c r="D59" t="str">
        <x:v>Contusion</x:v>
      </x:c>
      <x:c r="E59" s="21" t="n">
        <x:v>0</x:v>
      </x:c>
      <x:c r="F59" s="21"/>
      <x:c r="G59" s="21" t="str">
        <x:f>IF(COUNT(F59)=0,"판정없음",IF(E59=F59,"일치",E59&amp;"→"&amp;F59))</x:f>
        <x:v>판정없음</x:v>
      </x:c>
      <x:c r="H59" t="str">
        <x:v>not_mentioned</x:v>
      </x:c>
      <x:c r="I59" s="9" t="str"/>
      <x:c r="J59" s="9" t="str">
        <x:v>True</x:v>
      </x:c>
      <x:c r="K59" s="9" t="str"/>
      <x:c r="L59" t="str">
        <x:v>gemma4:e4b</x:v>
      </x:c>
    </x:row>
    <x:row r="60" ht="38" customHeight="1">
      <x:c r="A60" t="n">
        <x:v>445</x:v>
      </x:c>
      <x:c r="B60" t="str">
        <x:v>1.2.826.0.1.3680043.8.498.11287937729196958426538087439102017580</x:v>
      </x:c>
      <x:c r="C60" t="str">
        <x:v>English</x:v>
      </x:c>
      <x:c r="D60" t="str">
        <x:v>Effusion</x:v>
      </x:c>
      <x:c r="E60" s="21" t="n">
        <x:v>1</x:v>
      </x:c>
      <x:c r="F60" s="21" t="n">
        <x:v>1</x:v>
      </x:c>
      <x:c r="G60" s="21" t="str">
        <x:f>IF(COUNT(F60)=0,"판정없음",IF(E60=F60,"일치",E60&amp;"→"&amp;F60))</x:f>
        <x:v>일치</x:v>
      </x:c>
      <x:c r="H60" t="str">
        <x:v>explicit_positive</x:v>
      </x:c>
      <x:c r="I60" s="9" t="str">
        <x:v>massive joint effusion</x:v>
      </x:c>
      <x:c r="J60" s="9" t="str">
        <x:v>True</x:v>
      </x:c>
      <x:c r="K60" s="9" t="str"/>
      <x:c r="L60" t="str">
        <x:v>gemma4:e4b</x:v>
      </x:c>
    </x:row>
    <x:row r="61" ht="38" customHeight="1">
      <x:c r="A61" t="n">
        <x:v>445</x:v>
      </x:c>
      <x:c r="B61" t="str">
        <x:v>1.2.826.0.1.3680043.8.498.11287937729196958426538087439102017580</x:v>
      </x:c>
      <x:c r="C61" t="str">
        <x:v>English</x:v>
      </x:c>
      <x:c r="D61" t="str">
        <x:v>Fracture</x:v>
      </x:c>
      <x:c r="E61" s="21" t="n">
        <x:v>0</x:v>
      </x:c>
      <x:c r="F61" s="21"/>
      <x:c r="G61" s="21" t="str">
        <x:f>IF(COUNT(F61)=0,"판정없음",IF(E61=F61,"일치",E61&amp;"→"&amp;F61))</x:f>
        <x:v>판정없음</x:v>
      </x:c>
      <x:c r="H61" t="str">
        <x:v>not_mentioned</x:v>
      </x:c>
      <x:c r="I61" s="9" t="str"/>
      <x:c r="J61" s="9" t="str">
        <x:v>True</x:v>
      </x:c>
      <x:c r="K61" s="9" t="str"/>
      <x:c r="L61" t="str">
        <x:v>gemma4:e4b</x:v>
      </x:c>
    </x:row>
    <x:row r="62" ht="38" customHeight="1">
      <x:c r="A62" t="n">
        <x:v>445</x:v>
      </x:c>
      <x:c r="B62" t="str">
        <x:v>1.2.826.0.1.3680043.8.498.11287937729196958426538087439102017580</x:v>
      </x:c>
      <x:c r="C62" t="str">
        <x:v>English</x:v>
      </x:c>
      <x:c r="D62" t="str">
        <x:v>Lateral Meniscus</x:v>
      </x:c>
      <x:c r="E62" s="21" t="n">
        <x:v>0</x:v>
      </x:c>
      <x:c r="F62" s="21"/>
      <x:c r="G62" s="21" t="str">
        <x:f>IF(COUNT(F62)=0,"판정없음",IF(E62=F62,"일치",E62&amp;"→"&amp;F62))</x:f>
        <x:v>판정없음</x:v>
      </x:c>
      <x:c r="H62" t="str">
        <x:v>not_mentioned</x:v>
      </x:c>
      <x:c r="I62" s="9" t="str"/>
      <x:c r="J62" s="9" t="str">
        <x:v>True</x:v>
      </x:c>
      <x:c r="K62" s="9" t="str"/>
      <x:c r="L62" t="str">
        <x:v>gemma4:e4b</x:v>
      </x:c>
    </x:row>
    <x:row r="63" ht="38" customHeight="1">
      <x:c r="A63" t="n">
        <x:v>445</x:v>
      </x:c>
      <x:c r="B63" t="str">
        <x:v>1.2.826.0.1.3680043.8.498.11287937729196958426538087439102017580</x:v>
      </x:c>
      <x:c r="C63" t="str">
        <x:v>English</x:v>
      </x:c>
      <x:c r="D63" t="str">
        <x:v>Lateral OA</x:v>
      </x:c>
      <x:c r="E63" s="21" t="n">
        <x:v>0</x:v>
      </x:c>
      <x:c r="F63" s="21"/>
      <x:c r="G63" s="21" t="str">
        <x:f>IF(COUNT(F63)=0,"판정없음",IF(E63=F63,"일치",E63&amp;"→"&amp;F63))</x:f>
        <x:v>판정없음</x:v>
      </x:c>
      <x:c r="H63" t="str">
        <x:v>not_mentioned</x:v>
      </x:c>
      <x:c r="I63" s="9" t="str"/>
      <x:c r="J63" s="9" t="str">
        <x:v>True</x:v>
      </x:c>
      <x:c r="K63" s="9" t="str"/>
      <x:c r="L63" t="str">
        <x:v>gemma4:e4b</x:v>
      </x:c>
    </x:row>
    <x:row r="64" ht="38" customHeight="1">
      <x:c r="A64" t="n">
        <x:v>445</x:v>
      </x:c>
      <x:c r="B64" t="str">
        <x:v>1.2.826.0.1.3680043.8.498.11287937729196958426538087439102017580</x:v>
      </x:c>
      <x:c r="C64" t="str">
        <x:v>English</x:v>
      </x:c>
      <x:c r="D64" t="str">
        <x:v>MCL</x:v>
      </x:c>
      <x:c r="E64" s="21" t="n">
        <x:v>0</x:v>
      </x:c>
      <x:c r="F64" s="21" t="n">
        <x:v>0</x:v>
      </x:c>
      <x:c r="G64" s="21" t="str">
        <x:f>IF(COUNT(F64)=0,"판정없음",IF(E64=F64,"일치",E64&amp;"→"&amp;F64))</x:f>
        <x:v>일치</x:v>
      </x:c>
      <x:c r="H64" t="str">
        <x:v>explicit_negative</x:v>
      </x:c>
      <x:c r="I64" s="9" t="str">
        <x:v>There is no increased intensity in the ACL, MCL and LCL, it appears to be normal</x:v>
      </x:c>
      <x:c r="J64" s="9" t="str">
        <x:v>True</x:v>
      </x:c>
      <x:c r="K64" s="9" t="str"/>
      <x:c r="L64" t="str">
        <x:v>gemma4:e4b</x:v>
      </x:c>
    </x:row>
    <x:row r="65" ht="38" customHeight="1">
      <x:c r="A65" t="n">
        <x:v>445</x:v>
      </x:c>
      <x:c r="B65" t="str">
        <x:v>1.2.826.0.1.3680043.8.498.11287937729196958426538087439102017580</x:v>
      </x:c>
      <x:c r="C65" t="str">
        <x:v>English</x:v>
      </x:c>
      <x:c r="D65" t="str">
        <x:v>Medial Meniscus</x:v>
      </x:c>
      <x:c r="E65" s="21" t="n">
        <x:v>0</x:v>
      </x:c>
      <x:c r="F65" s="21" t="n">
        <x:v>0</x:v>
      </x:c>
      <x:c r="G65" s="21" t="str">
        <x:f>IF(COUNT(F65)=0,"판정없음",IF(E65=F65,"일치",E65&amp;"→"&amp;F65))</x:f>
        <x:v>일치</x:v>
      </x:c>
      <x:c r="H65" t="str">
        <x:v>explicit_negative</x:v>
      </x:c>
      <x:c r="I65" s="9" t="str">
        <x:v>There is no abnormal intensity or articular surface disrupt in the medial meniscus, It appears to be normal</x:v>
      </x:c>
      <x:c r="J65" s="9" t="str">
        <x:v>True</x:v>
      </x:c>
      <x:c r="K65" s="9" t="str"/>
      <x:c r="L65" t="str">
        <x:v>gemma4:e4b</x:v>
      </x:c>
    </x:row>
    <x:row r="66" ht="38" customHeight="1">
      <x:c r="A66" t="n">
        <x:v>445</x:v>
      </x:c>
      <x:c r="B66" t="str">
        <x:v>1.2.826.0.1.3680043.8.498.11287937729196958426538087439102017580</x:v>
      </x:c>
      <x:c r="C66" t="str">
        <x:v>English</x:v>
      </x:c>
      <x:c r="D66" t="str">
        <x:v>Medial OA</x:v>
      </x:c>
      <x:c r="E66" s="21" t="n">
        <x:v>0</x:v>
      </x:c>
      <x:c r="F66" s="21" t="n">
        <x:v>1</x:v>
      </x:c>
      <x:c r="G66" s="21" t="str">
        <x:f>IF(COUNT(F66)=0,"판정없음",IF(E66=F66,"일치",E66&amp;"→"&amp;F66))</x:f>
        <x:v>0→1</x:v>
      </x:c>
      <x:c r="H66" t="str">
        <x:v>explicit_positive</x:v>
      </x:c>
      <x:c r="I66" s="9" t="str">
        <x:v>knee arthritis with hoffitis noted</x:v>
      </x:c>
      <x:c r="J66" s="9" t="str">
        <x:v>True</x:v>
      </x:c>
      <x:c r="K66" s="9" t="str"/>
      <x:c r="L66" t="str">
        <x:v>gemma4:e4b</x:v>
      </x:c>
    </x:row>
    <x:row r="67" ht="38" customHeight="1">
      <x:c r="A67" t="n">
        <x:v>445</x:v>
      </x:c>
      <x:c r="B67" t="str">
        <x:v>1.2.826.0.1.3680043.8.498.11287937729196958426538087439102017580</x:v>
      </x:c>
      <x:c r="C67" t="str">
        <x:v>English</x:v>
      </x:c>
      <x:c r="D67" t="str">
        <x:v>PF OA</x:v>
      </x:c>
      <x:c r="E67" s="21" t="n">
        <x:v>0</x:v>
      </x:c>
      <x:c r="F67" s="21"/>
      <x:c r="G67" s="21" t="str">
        <x:f>IF(COUNT(F67)=0,"판정없음",IF(E67=F67,"일치",E67&amp;"→"&amp;F67))</x:f>
        <x:v>판정없음</x:v>
      </x:c>
      <x:c r="H67" t="str">
        <x:v>not_mentioned</x:v>
      </x:c>
      <x:c r="I67" s="9" t="str"/>
      <x:c r="J67" s="9" t="str">
        <x:v>True</x:v>
      </x:c>
      <x:c r="K67" s="9" t="str"/>
      <x:c r="L67" t="str">
        <x:v>gemma4:e4b</x:v>
      </x:c>
    </x:row>
    <x:row r="68" ht="38" customHeight="1">
      <x:c r="A68" t="n">
        <x:v>445</x:v>
      </x:c>
      <x:c r="B68" t="str">
        <x:v>1.2.826.0.1.3680043.8.498.11287937729196958426538087439102017580</x:v>
      </x:c>
      <x:c r="C68" t="str">
        <x:v>English</x:v>
      </x:c>
      <x:c r="D68" t="str">
        <x:v>Synovitis</x:v>
      </x:c>
      <x:c r="E68" s="21" t="n">
        <x:v>0</x:v>
      </x:c>
      <x:c r="F68" s="21" t="n">
        <x:v>1</x:v>
      </x:c>
      <x:c r="G68" s="21" t="str">
        <x:f>IF(COUNT(F68)=0,"판정없음",IF(E68=F68,"일치",E68&amp;"→"&amp;F68))</x:f>
        <x:v>0→1</x:v>
      </x:c>
      <x:c r="H68" t="str">
        <x:v>explicit_positive</x:v>
      </x:c>
      <x:c r="I68" s="9" t="str">
        <x:v>Synovitis of left knee</x:v>
      </x:c>
      <x:c r="J68" s="9" t="str">
        <x:v>True</x:v>
      </x:c>
      <x:c r="K68" s="9" t="str"/>
      <x:c r="L68" t="str">
        <x:v>gemma4:e4b</x:v>
      </x:c>
    </x:row>
    <x:row r="69" ht="38" customHeight="1">
      <x:c r="A69" t="n">
        <x:v>470</x:v>
      </x:c>
      <x:c r="B69" t="str">
        <x:v>1.2.826.0.1.3680043.8.498.11382021393803389951964005983002209238</x:v>
      </x:c>
      <x:c r="C69" t="str">
        <x:v>English</x:v>
      </x:c>
      <x:c r="D69" t="str">
        <x:v>ACL</x:v>
      </x:c>
      <x:c r="E69" s="21" t="n">
        <x:v>1</x:v>
      </x:c>
      <x:c r="F69" s="21" t="n">
        <x:v>1</x:v>
      </x:c>
      <x:c r="G69" s="21" t="str">
        <x:f>IF(COUNT(F69)=0,"판정없음",IF(E69=F69,"일치",E69&amp;"→"&amp;F69))</x:f>
        <x:v>일치</x:v>
      </x:c>
      <x:c r="H69" t="str">
        <x:v>explicit_positive</x:v>
      </x:c>
      <x:c r="I69" s="9" t="str">
        <x:v>complete tear of the anterior cruciate ligament, at mid substance</x:v>
      </x:c>
      <x:c r="J69" s="9" t="str">
        <x:v>True</x:v>
      </x:c>
      <x:c r="K69" s="9" t="str">
        <x:v>intercondylar notch</x:v>
      </x:c>
      <x:c r="L69" t="str">
        <x:v>gemma4:e4b</x:v>
      </x:c>
    </x:row>
    <x:row r="70" ht="38" customHeight="1">
      <x:c r="A70" t="n">
        <x:v>470</x:v>
      </x:c>
      <x:c r="B70" t="str">
        <x:v>1.2.826.0.1.3680043.8.498.11382021393803389951964005983002209238</x:v>
      </x:c>
      <x:c r="C70" t="str">
        <x:v>English</x:v>
      </x:c>
      <x:c r="D70" t="str">
        <x:v>Baker's</x:v>
      </x:c>
      <x:c r="E70" s="21" t="n">
        <x:v>0</x:v>
      </x:c>
      <x:c r="F70" s="21"/>
      <x:c r="G70" s="21" t="str">
        <x:f>IF(COUNT(F70)=0,"판정없음",IF(E70=F70,"일치",E70&amp;"→"&amp;F70))</x:f>
        <x:v>판정없음</x:v>
      </x:c>
      <x:c r="H70" t="str">
        <x:v>not_mentioned</x:v>
      </x:c>
      <x:c r="I70" s="9" t="str"/>
      <x:c r="J70" s="9" t="str">
        <x:v>True</x:v>
      </x:c>
      <x:c r="K70" s="9" t="str"/>
      <x:c r="L70" t="str">
        <x:v>gemma4:e4b</x:v>
      </x:c>
    </x:row>
    <x:row r="71" ht="38" customHeight="1">
      <x:c r="A71" t="n">
        <x:v>470</x:v>
      </x:c>
      <x:c r="B71" t="str">
        <x:v>1.2.826.0.1.3680043.8.498.11382021393803389951964005983002209238</x:v>
      </x:c>
      <x:c r="C71" t="str">
        <x:v>English</x:v>
      </x:c>
      <x:c r="D71" t="str">
        <x:v>Contusion</x:v>
      </x:c>
      <x:c r="E71" s="21" t="n">
        <x:v>0</x:v>
      </x:c>
      <x:c r="F71" s="21" t="n">
        <x:v>0</x:v>
      </x:c>
      <x:c r="G71" s="21" t="str">
        <x:f>IF(COUNT(F71)=0,"판정없음",IF(E71=F71,"일치",E71&amp;"→"&amp;F71))</x:f>
        <x:v>일치</x:v>
      </x:c>
      <x:c r="H71" t="str">
        <x:v>explicit_negative</x:v>
      </x:c>
      <x:c r="I71" s="9" t="str">
        <x:v>no fracture or bone contusion</x:v>
      </x:c>
      <x:c r="J71" s="9" t="str">
        <x:v>True</x:v>
      </x:c>
      <x:c r="K71" s="9" t="str"/>
      <x:c r="L71" t="str">
        <x:v>gemma4:e4b</x:v>
      </x:c>
    </x:row>
    <x:row r="72" ht="38" customHeight="1">
      <x:c r="A72" t="n">
        <x:v>470</x:v>
      </x:c>
      <x:c r="B72" t="str">
        <x:v>1.2.826.0.1.3680043.8.498.11382021393803389951964005983002209238</x:v>
      </x:c>
      <x:c r="C72" t="str">
        <x:v>English</x:v>
      </x:c>
      <x:c r="D72" t="str">
        <x:v>Effusion</x:v>
      </x:c>
      <x:c r="E72" s="21" t="n">
        <x:v>0</x:v>
      </x:c>
      <x:c r="F72" s="21" t="n">
        <x:v>0</x:v>
      </x:c>
      <x:c r="G72" s="21" t="str">
        <x:f>IF(COUNT(F72)=0,"판정없음",IF(E72=F72,"일치",E72&amp;"→"&amp;F72))</x:f>
        <x:v>일치</x:v>
      </x:c>
      <x:c r="H72" t="str">
        <x:v>explicit_negative</x:v>
      </x:c>
      <x:c r="I72" s="9" t="str">
        <x:v>No knee effusion is present</x:v>
      </x:c>
      <x:c r="J72" s="9" t="str">
        <x:v>True</x:v>
      </x:c>
      <x:c r="K72" s="9" t="str"/>
      <x:c r="L72" t="str">
        <x:v>gemma4:e4b</x:v>
      </x:c>
    </x:row>
    <x:row r="73" ht="38" customHeight="1">
      <x:c r="A73" t="n">
        <x:v>470</x:v>
      </x:c>
      <x:c r="B73" t="str">
        <x:v>1.2.826.0.1.3680043.8.498.11382021393803389951964005983002209238</x:v>
      </x:c>
      <x:c r="C73" t="str">
        <x:v>English</x:v>
      </x:c>
      <x:c r="D73" t="str">
        <x:v>Fracture</x:v>
      </x:c>
      <x:c r="E73" s="21" t="n">
        <x:v>0</x:v>
      </x:c>
      <x:c r="F73" s="21" t="n">
        <x:v>0</x:v>
      </x:c>
      <x:c r="G73" s="21" t="str">
        <x:f>IF(COUNT(F73)=0,"판정없음",IF(E73=F73,"일치",E73&amp;"→"&amp;F73))</x:f>
        <x:v>일치</x:v>
      </x:c>
      <x:c r="H73" t="str">
        <x:v>explicit_negative</x:v>
      </x:c>
      <x:c r="I73" s="9" t="str">
        <x:v>no fracture or bone contusion</x:v>
      </x:c>
      <x:c r="J73" s="9" t="str">
        <x:v>True</x:v>
      </x:c>
      <x:c r="K73" s="9" t="str"/>
      <x:c r="L73" t="str">
        <x:v>gemma4:e4b</x:v>
      </x:c>
    </x:row>
    <x:row r="74" ht="38" customHeight="1">
      <x:c r="A74" t="n">
        <x:v>470</x:v>
      </x:c>
      <x:c r="B74" t="str">
        <x:v>1.2.826.0.1.3680043.8.498.11382021393803389951964005983002209238</x:v>
      </x:c>
      <x:c r="C74" t="str">
        <x:v>English</x:v>
      </x:c>
      <x:c r="D74" t="str">
        <x:v>Lateral Meniscus</x:v>
      </x:c>
      <x:c r="E74" s="21" t="n">
        <x:v>0</x:v>
      </x:c>
      <x:c r="F74" s="21" t="n">
        <x:v>0</x:v>
      </x:c>
      <x:c r="G74" s="21" t="str">
        <x:f>IF(COUNT(F74)=0,"판정없음",IF(E74=F74,"일치",E74&amp;"→"&amp;F74))</x:f>
        <x:v>일치</x:v>
      </x:c>
      <x:c r="H74" t="str">
        <x:v>explicit_negative</x:v>
      </x:c>
      <x:c r="I74" s="9" t="str">
        <x:v>the meniscus is not torn</x:v>
      </x:c>
      <x:c r="J74" s="9" t="str">
        <x:v>True</x:v>
      </x:c>
      <x:c r="K74" s="9" t="str">
        <x:v>lateral compartment</x:v>
      </x:c>
      <x:c r="L74" t="str">
        <x:v>gemma4:e4b</x:v>
      </x:c>
    </x:row>
    <x:row r="75" ht="38" customHeight="1">
      <x:c r="A75" t="n">
        <x:v>470</x:v>
      </x:c>
      <x:c r="B75" t="str">
        <x:v>1.2.826.0.1.3680043.8.498.11382021393803389951964005983002209238</x:v>
      </x:c>
      <x:c r="C75" t="str">
        <x:v>English</x:v>
      </x:c>
      <x:c r="D75" t="str">
        <x:v>Lateral OA</x:v>
      </x:c>
      <x:c r="E75" s="21" t="n">
        <x:v>0</x:v>
      </x:c>
      <x:c r="F75" s="21"/>
      <x:c r="G75" s="21" t="str">
        <x:f>IF(COUNT(F75)=0,"판정없음",IF(E75=F75,"일치",E75&amp;"→"&amp;F75))</x:f>
        <x:v>판정없음</x:v>
      </x:c>
      <x:c r="H75" t="str">
        <x:v>not_mentioned</x:v>
      </x:c>
      <x:c r="I75" s="9" t="str"/>
      <x:c r="J75" s="9" t="str">
        <x:v>True</x:v>
      </x:c>
      <x:c r="K75" s="9" t="str">
        <x:v>lateral compartment</x:v>
      </x:c>
      <x:c r="L75" t="str">
        <x:v>gemma4:e4b</x:v>
      </x:c>
    </x:row>
    <x:row r="76" ht="38" customHeight="1">
      <x:c r="A76" t="n">
        <x:v>470</x:v>
      </x:c>
      <x:c r="B76" t="str">
        <x:v>1.2.826.0.1.3680043.8.498.11382021393803389951964005983002209238</x:v>
      </x:c>
      <x:c r="C76" t="str">
        <x:v>English</x:v>
      </x:c>
      <x:c r="D76" t="str">
        <x:v>MCL</x:v>
      </x:c>
      <x:c r="E76" s="21" t="n">
        <x:v>0</x:v>
      </x:c>
      <x:c r="F76" s="21" t="n">
        <x:v>0</x:v>
      </x:c>
      <x:c r="G76" s="21" t="str">
        <x:f>IF(COUNT(F76)=0,"판정없음",IF(E76=F76,"일치",E76&amp;"→"&amp;F76))</x:f>
        <x:v>일치</x:v>
      </x:c>
      <x:c r="H76" t="str">
        <x:v>explicit_negative</x:v>
      </x:c>
      <x:c r="I76" s="9" t="str">
        <x:v>The medial and lateral collateral ligament complexes are intact</x:v>
      </x:c>
      <x:c r="J76" s="9" t="str">
        <x:v>True</x:v>
      </x:c>
      <x:c r="K76" s="9" t="str">
        <x:v>medial collateral ligament</x:v>
      </x:c>
      <x:c r="L76" t="str">
        <x:v>gemma4:e4b</x:v>
      </x:c>
    </x:row>
    <x:row r="77" ht="38" customHeight="1">
      <x:c r="A77" t="n">
        <x:v>470</x:v>
      </x:c>
      <x:c r="B77" t="str">
        <x:v>1.2.826.0.1.3680043.8.498.11382021393803389951964005983002209238</x:v>
      </x:c>
      <x:c r="C77" t="str">
        <x:v>English</x:v>
      </x:c>
      <x:c r="D77" t="str">
        <x:v>Medial Meniscus</x:v>
      </x:c>
      <x:c r="E77" s="21" t="n">
        <x:v>1</x:v>
      </x:c>
      <x:c r="F77" s="21" t="n">
        <x:v>1</x:v>
      </x:c>
      <x:c r="G77" s="21" t="str">
        <x:f>IF(COUNT(F77)=0,"판정없음",IF(E77=F77,"일치",E77&amp;"→"&amp;F77))</x:f>
        <x:v>일치</x:v>
      </x:c>
      <x:c r="H77" t="str">
        <x:v>explicit_positive</x:v>
      </x:c>
      <x:c r="I77" s="9" t="str">
        <x:v>longitudinal vertical tear at the body and posterior horn of the medial meniscus</x:v>
      </x:c>
      <x:c r="J77" s="9" t="str">
        <x:v>True</x:v>
      </x:c>
      <x:c r="K77" s="9" t="str">
        <x:v>medial compartment</x:v>
      </x:c>
      <x:c r="L77" t="str">
        <x:v>gemma4:e4b</x:v>
      </x:c>
    </x:row>
    <x:row r="78" ht="38" customHeight="1">
      <x:c r="A78" t="n">
        <x:v>470</x:v>
      </x:c>
      <x:c r="B78" t="str">
        <x:v>1.2.826.0.1.3680043.8.498.11382021393803389951964005983002209238</x:v>
      </x:c>
      <x:c r="C78" t="str">
        <x:v>English</x:v>
      </x:c>
      <x:c r="D78" t="str">
        <x:v>Medial OA</x:v>
      </x:c>
      <x:c r="E78" s="21" t="n">
        <x:v>0</x:v>
      </x:c>
      <x:c r="F78" s="21"/>
      <x:c r="G78" s="21" t="str">
        <x:f>IF(COUNT(F78)=0,"판정없음",IF(E78=F78,"일치",E78&amp;"→"&amp;F78))</x:f>
        <x:v>판정없음</x:v>
      </x:c>
      <x:c r="H78" t="str">
        <x:v>not_mentioned</x:v>
      </x:c>
      <x:c r="I78" s="9" t="str"/>
      <x:c r="J78" s="9" t="str">
        <x:v>True</x:v>
      </x:c>
      <x:c r="K78" s="9" t="str">
        <x:v>medial compartment</x:v>
      </x:c>
      <x:c r="L78" t="str">
        <x:v>gemma4:e4b</x:v>
      </x:c>
    </x:row>
    <x:row r="79" ht="38" customHeight="1">
      <x:c r="A79" t="n">
        <x:v>470</x:v>
      </x:c>
      <x:c r="B79" t="str">
        <x:v>1.2.826.0.1.3680043.8.498.11382021393803389951964005983002209238</x:v>
      </x:c>
      <x:c r="C79" t="str">
        <x:v>English</x:v>
      </x:c>
      <x:c r="D79" t="str">
        <x:v>PF OA</x:v>
      </x:c>
      <x:c r="E79" s="21" t="n">
        <x:v>0</x:v>
      </x:c>
      <x:c r="F79" s="21"/>
      <x:c r="G79" s="21" t="str">
        <x:f>IF(COUNT(F79)=0,"판정없음",IF(E79=F79,"일치",E79&amp;"→"&amp;F79))</x:f>
        <x:v>판정없음</x:v>
      </x:c>
      <x:c r="H79" t="str">
        <x:v>not_mentioned</x:v>
      </x:c>
      <x:c r="I79" s="9" t="str"/>
      <x:c r="J79" s="9" t="str">
        <x:v>True</x:v>
      </x:c>
      <x:c r="K79" s="9" t="str">
        <x:v>patellofemoral joint</x:v>
      </x:c>
      <x:c r="L79" t="str">
        <x:v>gemma4:e4b</x:v>
      </x:c>
    </x:row>
    <x:row r="80" ht="38" customHeight="1">
      <x:c r="A80" t="n">
        <x:v>470</x:v>
      </x:c>
      <x:c r="B80" t="str">
        <x:v>1.2.826.0.1.3680043.8.498.11382021393803389951964005983002209238</x:v>
      </x:c>
      <x:c r="C80" t="str">
        <x:v>English</x:v>
      </x:c>
      <x:c r="D80" t="str">
        <x:v>Synovitis</x:v>
      </x:c>
      <x:c r="E80" s="21" t="n">
        <x:v>0</x:v>
      </x:c>
      <x:c r="F80" s="21"/>
      <x:c r="G80" s="21" t="str">
        <x:f>IF(COUNT(F80)=0,"판정없음",IF(E80=F80,"일치",E80&amp;"→"&amp;F80))</x:f>
        <x:v>판정없음</x:v>
      </x:c>
      <x:c r="H80" t="str">
        <x:v>not_mentioned</x:v>
      </x:c>
      <x:c r="I80" s="9" t="str"/>
      <x:c r="J80" s="9" t="str">
        <x:v>True</x:v>
      </x:c>
      <x:c r="K80" s="9" t="str"/>
      <x:c r="L80" t="str">
        <x:v>gemma4:e4b</x:v>
      </x:c>
    </x:row>
    <x:row r="81" ht="38" customHeight="1">
      <x:c r="A81" t="n">
        <x:v>533</x:v>
      </x:c>
      <x:c r="B81" t="str">
        <x:v>1.2.826.0.1.3680043.8.498.11548045715264151632153040089882701935</x:v>
      </x:c>
      <x:c r="C81" t="str">
        <x:v>English</x:v>
      </x:c>
      <x:c r="D81" t="str">
        <x:v>ACL</x:v>
      </x:c>
      <x:c r="E81" s="21" t="n">
        <x:v>0</x:v>
      </x:c>
      <x:c r="F81" s="21" t="n">
        <x:v>1</x:v>
      </x:c>
      <x:c r="G81" s="21" t="str">
        <x:f>IF(COUNT(F81)=0,"판정없음",IF(E81=F81,"일치",E81&amp;"→"&amp;F81))</x:f>
        <x:v>0→1</x:v>
      </x:c>
      <x:c r="H81" t="str">
        <x:v>explicit_positive</x:v>
      </x:c>
      <x:c r="I81" s="9" t="str">
        <x:v>interstitial tear of the anterior cruciate ligament, at mid substance</x:v>
      </x:c>
      <x:c r="J81" s="9" t="str">
        <x:v>True</x:v>
      </x:c>
      <x:c r="K81" s="9" t="str">
        <x:v>intercondylar notch</x:v>
      </x:c>
      <x:c r="L81" t="str">
        <x:v>gemma4:e4b</x:v>
      </x:c>
    </x:row>
    <x:row r="82" ht="38" customHeight="1">
      <x:c r="A82" t="n">
        <x:v>533</x:v>
      </x:c>
      <x:c r="B82" t="str">
        <x:v>1.2.826.0.1.3680043.8.498.11548045715264151632153040089882701935</x:v>
      </x:c>
      <x:c r="C82" t="str">
        <x:v>English</x:v>
      </x:c>
      <x:c r="D82" t="str">
        <x:v>Baker's</x:v>
      </x:c>
      <x:c r="E82" s="21" t="n">
        <x:v>0</x:v>
      </x:c>
      <x:c r="F82" s="21"/>
      <x:c r="G82" s="21" t="str">
        <x:f>IF(COUNT(F82)=0,"판정없음",IF(E82=F82,"일치",E82&amp;"→"&amp;F82))</x:f>
        <x:v>판정없음</x:v>
      </x:c>
      <x:c r="H82" t="str">
        <x:v>not_mentioned</x:v>
      </x:c>
      <x:c r="I82" s="9" t="str"/>
      <x:c r="J82" s="9" t="str">
        <x:v>True</x:v>
      </x:c>
      <x:c r="K82" s="9" t="str"/>
      <x:c r="L82" t="str">
        <x:v>gemma4:e4b</x:v>
      </x:c>
    </x:row>
    <x:row r="83" ht="38" customHeight="1">
      <x:c r="A83" t="n">
        <x:v>533</x:v>
      </x:c>
      <x:c r="B83" t="str">
        <x:v>1.2.826.0.1.3680043.8.498.11548045715264151632153040089882701935</x:v>
      </x:c>
      <x:c r="C83" t="str">
        <x:v>English</x:v>
      </x:c>
      <x:c r="D83" t="str">
        <x:v>Contusion</x:v>
      </x:c>
      <x:c r="E83" s="21" t="n">
        <x:v>1</x:v>
      </x:c>
      <x:c r="F83" s="21" t="n">
        <x:v>0</x:v>
      </x:c>
      <x:c r="G83" s="21" t="str">
        <x:f>IF(COUNT(F83)=0,"판정없음",IF(E83=F83,"일치",E83&amp;"→"&amp;F83))</x:f>
        <x:v>1→0</x:v>
      </x:c>
      <x:c r="H83" t="str">
        <x:v>explicit_negative</x:v>
      </x:c>
      <x:c r="I83" s="9" t="str">
        <x:v>There is no fracture or bone contusion</x:v>
      </x:c>
      <x:c r="J83" s="9" t="str">
        <x:v>True</x:v>
      </x:c>
      <x:c r="K83" s="9" t="str">
        <x:v>bone contusion</x:v>
      </x:c>
      <x:c r="L83" t="str">
        <x:v>gemma4:e4b</x:v>
      </x:c>
    </x:row>
    <x:row r="84" ht="38" customHeight="1">
      <x:c r="A84" t="n">
        <x:v>533</x:v>
      </x:c>
      <x:c r="B84" t="str">
        <x:v>1.2.826.0.1.3680043.8.498.11548045715264151632153040089882701935</x:v>
      </x:c>
      <x:c r="C84" t="str">
        <x:v>English</x:v>
      </x:c>
      <x:c r="D84" t="str">
        <x:v>Effusion</x:v>
      </x:c>
      <x:c r="E84" s="21" t="n">
        <x:v>1</x:v>
      </x:c>
      <x:c r="F84" s="21" t="n">
        <x:v>1</x:v>
      </x:c>
      <x:c r="G84" s="21" t="str">
        <x:f>IF(COUNT(F84)=0,"판정없음",IF(E84=F84,"일치",E84&amp;"→"&amp;F84))</x:f>
        <x:v>일치</x:v>
      </x:c>
      <x:c r="H84" t="str">
        <x:v>explicit_positive</x:v>
      </x:c>
      <x:c r="I84" s="9" t="str">
        <x:v>Some amount of right knee effusion with hemarthrosis is present</x:v>
      </x:c>
      <x:c r="J84" s="9" t="str">
        <x:v>True</x:v>
      </x:c>
      <x:c r="K84" s="9" t="str"/>
      <x:c r="L84" t="str">
        <x:v>gemma4:e4b</x:v>
      </x:c>
    </x:row>
    <x:row r="85" ht="38" customHeight="1">
      <x:c r="A85" t="n">
        <x:v>533</x:v>
      </x:c>
      <x:c r="B85" t="str">
        <x:v>1.2.826.0.1.3680043.8.498.11548045715264151632153040089882701935</x:v>
      </x:c>
      <x:c r="C85" t="str">
        <x:v>English</x:v>
      </x:c>
      <x:c r="D85" t="str">
        <x:v>Fracture</x:v>
      </x:c>
      <x:c r="E85" s="21" t="n">
        <x:v>0</x:v>
      </x:c>
      <x:c r="F85" s="21" t="n">
        <x:v>0</x:v>
      </x:c>
      <x:c r="G85" s="21" t="str">
        <x:f>IF(COUNT(F85)=0,"판정없음",IF(E85=F85,"일치",E85&amp;"→"&amp;F85))</x:f>
        <x:v>일치</x:v>
      </x:c>
      <x:c r="H85" t="str">
        <x:v>explicit_negative</x:v>
      </x:c>
      <x:c r="I85" s="9" t="str">
        <x:v>There is no fracture or bone contusion</x:v>
      </x:c>
      <x:c r="J85" s="9" t="str">
        <x:v>True</x:v>
      </x:c>
      <x:c r="K85" s="9" t="str"/>
      <x:c r="L85" t="str">
        <x:v>gemma4:e4b</x:v>
      </x:c>
    </x:row>
    <x:row r="86" ht="38" customHeight="1">
      <x:c r="A86" t="n">
        <x:v>533</x:v>
      </x:c>
      <x:c r="B86" t="str">
        <x:v>1.2.826.0.1.3680043.8.498.11548045715264151632153040089882701935</x:v>
      </x:c>
      <x:c r="C86" t="str">
        <x:v>English</x:v>
      </x:c>
      <x:c r="D86" t="str">
        <x:v>Lateral Meniscus</x:v>
      </x:c>
      <x:c r="E86" s="21" t="n">
        <x:v>0</x:v>
      </x:c>
      <x:c r="F86" s="21" t="n">
        <x:v>1</x:v>
      </x:c>
      <x:c r="G86" s="21" t="str">
        <x:f>IF(COUNT(F86)=0,"판정없음",IF(E86=F86,"일치",E86&amp;"→"&amp;F86))</x:f>
        <x:v>0→1</x:v>
      </x:c>
      <x:c r="H86" t="str">
        <x:v>explicit_positive</x:v>
      </x:c>
      <x:c r="I86" s="9" t="str">
        <x:v>complex tear (main radial and longitudinal vertical component) at the posterior horn of the lateral meniscus</x:v>
      </x:c>
      <x:c r="J86" s="9" t="str">
        <x:v>True</x:v>
      </x:c>
      <x:c r="K86" s="9" t="str">
        <x:v>lateral compartment</x:v>
      </x:c>
      <x:c r="L86" t="str">
        <x:v>gemma4:e4b</x:v>
      </x:c>
    </x:row>
    <x:row r="87" ht="38" customHeight="1">
      <x:c r="A87" t="n">
        <x:v>533</x:v>
      </x:c>
      <x:c r="B87" t="str">
        <x:v>1.2.826.0.1.3680043.8.498.11548045715264151632153040089882701935</x:v>
      </x:c>
      <x:c r="C87" t="str">
        <x:v>English</x:v>
      </x:c>
      <x:c r="D87" t="str">
        <x:v>Lateral OA</x:v>
      </x:c>
      <x:c r="E87" s="21" t="n">
        <x:v>0</x:v>
      </x:c>
      <x:c r="F87" s="21"/>
      <x:c r="G87" s="21" t="str">
        <x:f>IF(COUNT(F87)=0,"판정없음",IF(E87=F87,"일치",E87&amp;"→"&amp;F87))</x:f>
        <x:v>판정없음</x:v>
      </x:c>
      <x:c r="H87" t="str">
        <x:v>not_mentioned</x:v>
      </x:c>
      <x:c r="I87" s="9" t="str"/>
      <x:c r="J87" s="9" t="str">
        <x:v>True</x:v>
      </x:c>
      <x:c r="K87" s="9" t="str"/>
      <x:c r="L87" t="str">
        <x:v>gemma4:e4b</x:v>
      </x:c>
    </x:row>
    <x:row r="88" ht="38" customHeight="1">
      <x:c r="A88" t="n">
        <x:v>533</x:v>
      </x:c>
      <x:c r="B88" t="str">
        <x:v>1.2.826.0.1.3680043.8.498.11548045715264151632153040089882701935</x:v>
      </x:c>
      <x:c r="C88" t="str">
        <x:v>English</x:v>
      </x:c>
      <x:c r="D88" t="str">
        <x:v>MCL</x:v>
      </x:c>
      <x:c r="E88" s="21" t="n">
        <x:v>0</x:v>
      </x:c>
      <x:c r="F88" s="21" t="n">
        <x:v>0</x:v>
      </x:c>
      <x:c r="G88" s="21" t="str">
        <x:f>IF(COUNT(F88)=0,"판정없음",IF(E88=F88,"일치",E88&amp;"→"&amp;F88))</x:f>
        <x:v>일치</x:v>
      </x:c>
      <x:c r="H88" t="str">
        <x:v>explicit_negative</x:v>
      </x:c>
      <x:c r="I88" s="9" t="str">
        <x:v>The medial collateral ligament complexes are intact</x:v>
      </x:c>
      <x:c r="J88" s="9" t="str">
        <x:v>True</x:v>
      </x:c>
      <x:c r="K88" s="9" t="str"/>
      <x:c r="L88" t="str">
        <x:v>gemma4:e4b</x:v>
      </x:c>
    </x:row>
    <x:row r="89" ht="38" customHeight="1">
      <x:c r="A89" t="n">
        <x:v>533</x:v>
      </x:c>
      <x:c r="B89" t="str">
        <x:v>1.2.826.0.1.3680043.8.498.11548045715264151632153040089882701935</x:v>
      </x:c>
      <x:c r="C89" t="str">
        <x:v>English</x:v>
      </x:c>
      <x:c r="D89" t="str">
        <x:v>Medial Meniscus</x:v>
      </x:c>
      <x:c r="E89" s="21" t="n">
        <x:v>0</x:v>
      </x:c>
      <x:c r="F89" s="21" t="n">
        <x:v>0</x:v>
      </x:c>
      <x:c r="G89" s="21" t="str">
        <x:f>IF(COUNT(F89)=0,"판정없음",IF(E89=F89,"일치",E89&amp;"→"&amp;F89))</x:f>
        <x:v>일치</x:v>
      </x:c>
      <x:c r="H89" t="str">
        <x:v>explicit_negative</x:v>
      </x:c>
      <x:c r="I89" s="9" t="str">
        <x:v>the meniscus is not torn</x:v>
      </x:c>
      <x:c r="J89" s="9" t="str">
        <x:v>True</x:v>
      </x:c>
      <x:c r="K89" s="9" t="str">
        <x:v>medial compartment</x:v>
      </x:c>
      <x:c r="L89" t="str">
        <x:v>gemma4:e4b</x:v>
      </x:c>
    </x:row>
    <x:row r="90" ht="38" customHeight="1">
      <x:c r="A90" t="n">
        <x:v>533</x:v>
      </x:c>
      <x:c r="B90" t="str">
        <x:v>1.2.826.0.1.3680043.8.498.11548045715264151632153040089882701935</x:v>
      </x:c>
      <x:c r="C90" t="str">
        <x:v>English</x:v>
      </x:c>
      <x:c r="D90" t="str">
        <x:v>Medial OA</x:v>
      </x:c>
      <x:c r="E90" s="21" t="n">
        <x:v>0</x:v>
      </x:c>
      <x:c r="F90" s="21"/>
      <x:c r="G90" s="21" t="str">
        <x:f>IF(COUNT(F90)=0,"판정없음",IF(E90=F90,"일치",E90&amp;"→"&amp;F90))</x:f>
        <x:v>판정없음</x:v>
      </x:c>
      <x:c r="H90" t="str">
        <x:v>not_mentioned</x:v>
      </x:c>
      <x:c r="I90" s="9" t="str"/>
      <x:c r="J90" s="9" t="str">
        <x:v>True</x:v>
      </x:c>
      <x:c r="K90" s="9" t="str"/>
      <x:c r="L90" t="str">
        <x:v>gemma4:e4b</x:v>
      </x:c>
    </x:row>
    <x:row r="91" ht="38" customHeight="1">
      <x:c r="A91" t="n">
        <x:v>533</x:v>
      </x:c>
      <x:c r="B91" t="str">
        <x:v>1.2.826.0.1.3680043.8.498.11548045715264151632153040089882701935</x:v>
      </x:c>
      <x:c r="C91" t="str">
        <x:v>English</x:v>
      </x:c>
      <x:c r="D91" t="str">
        <x:v>PF OA</x:v>
      </x:c>
      <x:c r="E91" s="21" t="n">
        <x:v>0</x:v>
      </x:c>
      <x:c r="F91" s="21"/>
      <x:c r="G91" s="21" t="str">
        <x:f>IF(COUNT(F91)=0,"판정없음",IF(E91=F91,"일치",E91&amp;"→"&amp;F91))</x:f>
        <x:v>판정없음</x:v>
      </x:c>
      <x:c r="H91" t="str">
        <x:v>not_mentioned</x:v>
      </x:c>
      <x:c r="I91" s="9" t="str"/>
      <x:c r="J91" s="9" t="str">
        <x:v>True</x:v>
      </x:c>
      <x:c r="K91" s="9" t="str">
        <x:v>patellofemoral joint</x:v>
      </x:c>
      <x:c r="L91" t="str">
        <x:v>gemma4:e4b</x:v>
      </x:c>
    </x:row>
    <x:row r="92" ht="38" customHeight="1">
      <x:c r="A92" t="n">
        <x:v>533</x:v>
      </x:c>
      <x:c r="B92" t="str">
        <x:v>1.2.826.0.1.3680043.8.498.11548045715264151632153040089882701935</x:v>
      </x:c>
      <x:c r="C92" t="str">
        <x:v>English</x:v>
      </x:c>
      <x:c r="D92" t="str">
        <x:v>Synovitis</x:v>
      </x:c>
      <x:c r="E92" s="21" t="n">
        <x:v>1</x:v>
      </x:c>
      <x:c r="F92" s="21"/>
      <x:c r="G92" s="21" t="str">
        <x:f>IF(COUNT(F92)=0,"판정없음",IF(E92=F92,"일치",E92&amp;"→"&amp;F92))</x:f>
        <x:v>판정없음</x:v>
      </x:c>
      <x:c r="H92" t="str">
        <x:v>not_mentioned</x:v>
      </x:c>
      <x:c r="I92" s="9" t="str"/>
      <x:c r="J92" s="9" t="str">
        <x:v>True</x:v>
      </x:c>
      <x:c r="K92" s="9" t="str"/>
      <x:c r="L92" t="str">
        <x:v>gemma4:e4b</x:v>
      </x:c>
    </x:row>
    <x:row r="93" ht="38" customHeight="1">
      <x:c r="A93" t="n">
        <x:v>537</x:v>
      </x:c>
      <x:c r="B93" t="str">
        <x:v>1.2.826.0.1.3680043.8.498.11557620559191469069130827959098335840</x:v>
      </x:c>
      <x:c r="C93" t="str">
        <x:v>Spanish</x:v>
      </x:c>
      <x:c r="D93" t="str">
        <x:v>ACL</x:v>
      </x:c>
      <x:c r="E93" s="21" t="n">
        <x:v>1</x:v>
      </x:c>
      <x:c r="F93" s="21" t="n">
        <x:v>1</x:v>
      </x:c>
      <x:c r="G93" s="21" t="str">
        <x:f>IF(COUNT(F93)=0,"판정없음",IF(E93=F93,"일치",E93&amp;"→"&amp;F93))</x:f>
        <x:v>일치</x:v>
      </x:c>
      <x:c r="H93" t="str">
        <x:v>explicit_positive</x:v>
      </x:c>
      <x:c r="I93" s="9" t="str">
        <x:v>Rotura espesor y ancho total del LCA</x:v>
      </x:c>
      <x:c r="J93" s="9" t="str">
        <x:v>True</x:v>
      </x:c>
      <x:c r="K93" s="9" t="str"/>
      <x:c r="L93" t="str">
        <x:v>gemma4:e4b</x:v>
      </x:c>
    </x:row>
    <x:row r="94" ht="38" customHeight="1">
      <x:c r="A94" t="n">
        <x:v>537</x:v>
      </x:c>
      <x:c r="B94" t="str">
        <x:v>1.2.826.0.1.3680043.8.498.11557620559191469069130827959098335840</x:v>
      </x:c>
      <x:c r="C94" t="str">
        <x:v>Spanish</x:v>
      </x:c>
      <x:c r="D94" t="str">
        <x:v>Baker's</x:v>
      </x:c>
      <x:c r="E94" s="21" t="n">
        <x:v>0</x:v>
      </x:c>
      <x:c r="F94" s="21"/>
      <x:c r="G94" s="21" t="str">
        <x:f>IF(COUNT(F94)=0,"판정없음",IF(E94=F94,"일치",E94&amp;"→"&amp;F94))</x:f>
        <x:v>판정없음</x:v>
      </x:c>
      <x:c r="H94" t="str">
        <x:v>not_mentioned</x:v>
      </x:c>
      <x:c r="I94" s="9" t="str"/>
      <x:c r="J94" s="9" t="str">
        <x:v>True</x:v>
      </x:c>
      <x:c r="K94" s="9" t="str"/>
      <x:c r="L94" t="str">
        <x:v>gemma4:e4b</x:v>
      </x:c>
    </x:row>
    <x:row r="95" ht="38" customHeight="1">
      <x:c r="A95" t="n">
        <x:v>537</x:v>
      </x:c>
      <x:c r="B95" t="str">
        <x:v>1.2.826.0.1.3680043.8.498.11557620559191469069130827959098335840</x:v>
      </x:c>
      <x:c r="C95" t="str">
        <x:v>Spanish</x:v>
      </x:c>
      <x:c r="D95" t="str">
        <x:v>Contusion</x:v>
      </x:c>
      <x:c r="E95" s="21" t="n">
        <x:v>0</x:v>
      </x:c>
      <x:c r="F95" s="21" t="n">
        <x:v>1</x:v>
      </x:c>
      <x:c r="G95" s="21" t="str">
        <x:f>IF(COUNT(F95)=0,"판정없음",IF(E95=F95,"일치",E95&amp;"→"&amp;F95))</x:f>
        <x:v>0→1</x:v>
      </x:c>
      <x:c r="H95" t="str">
        <x:v>explicit_positive</x:v>
      </x:c>
      <x:c r="I95" s="9" t="str">
        <x:v>discreto edema óseo del aspecto posterior de platillo tibial lateral</x:v>
      </x:c>
      <x:c r="J95" s="9" t="str">
        <x:v>True</x:v>
      </x:c>
      <x:c r="K95" s="9" t="str"/>
      <x:c r="L95" t="str">
        <x:v>gemma4:e4b</x:v>
      </x:c>
    </x:row>
    <x:row r="96" ht="38" customHeight="1">
      <x:c r="A96" t="n">
        <x:v>537</x:v>
      </x:c>
      <x:c r="B96" t="str">
        <x:v>1.2.826.0.1.3680043.8.498.11557620559191469069130827959098335840</x:v>
      </x:c>
      <x:c r="C96" t="str">
        <x:v>Spanish</x:v>
      </x:c>
      <x:c r="D96" t="str">
        <x:v>Effusion</x:v>
      </x:c>
      <x:c r="E96" s="21" t="n">
        <x:v>1</x:v>
      </x:c>
      <x:c r="F96" s="21" t="n">
        <x:v>1</x:v>
      </x:c>
      <x:c r="G96" s="21" t="str">
        <x:f>IF(COUNT(F96)=0,"판정없음",IF(E96=F96,"일치",E96&amp;"→"&amp;F96))</x:f>
        <x:v>일치</x:v>
      </x:c>
      <x:c r="H96" t="str">
        <x:v>explicit_positive</x:v>
      </x:c>
      <x:c r="I96" s="9" t="str">
        <x:v>Leve a moderado derrame articular, probablemente hemartrosis</x:v>
      </x:c>
      <x:c r="J96" s="9" t="str">
        <x:v>True</x:v>
      </x:c>
      <x:c r="K96" s="9" t="str"/>
      <x:c r="L96" t="str">
        <x:v>gemma4:e4b</x:v>
      </x:c>
    </x:row>
    <x:row r="97" ht="38" customHeight="1">
      <x:c r="A97" t="n">
        <x:v>537</x:v>
      </x:c>
      <x:c r="B97" t="str">
        <x:v>1.2.826.0.1.3680043.8.498.11557620559191469069130827959098335840</x:v>
      </x:c>
      <x:c r="C97" t="str">
        <x:v>Spanish</x:v>
      </x:c>
      <x:c r="D97" t="str">
        <x:v>Fracture</x:v>
      </x:c>
      <x:c r="E97" s="21" t="n">
        <x:v>0</x:v>
      </x:c>
      <x:c r="F97" s="21"/>
      <x:c r="G97" s="21" t="str">
        <x:f>IF(COUNT(F97)=0,"판정없음",IF(E97=F97,"일치",E97&amp;"→"&amp;F97))</x:f>
        <x:v>판정없음</x:v>
      </x:c>
      <x:c r="H97" t="str">
        <x:v>not_mentioned</x:v>
      </x:c>
      <x:c r="I97" s="9" t="str"/>
      <x:c r="J97" s="9" t="str">
        <x:v>True</x:v>
      </x:c>
      <x:c r="K97" s="9" t="str"/>
      <x:c r="L97" t="str">
        <x:v>gemma4:e4b</x:v>
      </x:c>
    </x:row>
    <x:row r="98" ht="38" customHeight="1">
      <x:c r="A98" t="n">
        <x:v>537</x:v>
      </x:c>
      <x:c r="B98" t="str">
        <x:v>1.2.826.0.1.3680043.8.498.11557620559191469069130827959098335840</x:v>
      </x:c>
      <x:c r="C98" t="str">
        <x:v>Spanish</x:v>
      </x:c>
      <x:c r="D98" t="str">
        <x:v>Lateral Meniscus</x:v>
      </x:c>
      <x:c r="E98" s="21" t="n">
        <x:v>1</x:v>
      </x:c>
      <x:c r="F98" s="21" t="n">
        <x:v>1</x:v>
      </x:c>
      <x:c r="G98" s="21" t="str">
        <x:f>IF(COUNT(F98)=0,"판정없음",IF(E98=F98,"일치",E98&amp;"→"&amp;F98))</x:f>
        <x:v>일치</x:v>
      </x:c>
      <x:c r="H98" t="str">
        <x:v>explicit_positive</x:v>
      </x:c>
      <x:c r="I98" s="9" t="str">
        <x:v>Menisco lateral con pequeña rotura radial incompleta de la unión del cuerno posterior con el cuerpo, sin desplazamiento de segmentos</x:v>
      </x:c>
      <x:c r="J98" s="9" t="str">
        <x:v>True</x:v>
      </x:c>
      <x:c r="K98" s="9" t="str"/>
      <x:c r="L98" t="str">
        <x:v>gemma4:e4b</x:v>
      </x:c>
    </x:row>
    <x:row r="99" ht="38" customHeight="1">
      <x:c r="A99" t="n">
        <x:v>537</x:v>
      </x:c>
      <x:c r="B99" t="str">
        <x:v>1.2.826.0.1.3680043.8.498.11557620559191469069130827959098335840</x:v>
      </x:c>
      <x:c r="C99" t="str">
        <x:v>Spanish</x:v>
      </x:c>
      <x:c r="D99" t="str">
        <x:v>Lateral OA</x:v>
      </x:c>
      <x:c r="E99" s="21" t="n">
        <x:v>1</x:v>
      </x:c>
      <x:c r="F99" s="21" t="n">
        <x:v>1</x:v>
      </x:c>
      <x:c r="G99" s="21" t="str">
        <x:f>IF(COUNT(F99)=0,"판정없음",IF(E99=F99,"일치",E99&amp;"→"&amp;F99))</x:f>
        <x:v>일치</x:v>
      </x:c>
      <x:c r="H99" t="str">
        <x:v>explicit_positive</x:v>
      </x:c>
      <x:c r="I99" s="9" t="str">
        <x:v>Condropatía lesiones grado 3 del compartimento femorotibial lateral</x:v>
      </x:c>
      <x:c r="J99" s="9" t="str">
        <x:v>True</x:v>
      </x:c>
      <x:c r="K99" s="9" t="str"/>
      <x:c r="L99" t="str">
        <x:v>gemma4:e4b</x:v>
      </x:c>
    </x:row>
    <x:row r="100" ht="38" customHeight="1">
      <x:c r="A100" t="n">
        <x:v>537</x:v>
      </x:c>
      <x:c r="B100" t="str">
        <x:v>1.2.826.0.1.3680043.8.498.11557620559191469069130827959098335840</x:v>
      </x:c>
      <x:c r="C100" t="str">
        <x:v>Spanish</x:v>
      </x:c>
      <x:c r="D100" t="str">
        <x:v>MCL</x:v>
      </x:c>
      <x:c r="E100" s="21" t="n">
        <x:v>0</x:v>
      </x:c>
      <x:c r="F100" s="21" t="n">
        <x:v>0</x:v>
      </x:c>
      <x:c r="G100" s="21" t="str">
        <x:f>IF(COUNT(F100)=0,"판정없음",IF(E100=F100,"일치",E100&amp;"→"&amp;F100))</x:f>
        <x:v>일치</x:v>
      </x:c>
      <x:c r="H100" t="str">
        <x:v>explicit_negative</x:v>
      </x:c>
      <x:c r="I100" s="9" t="str">
        <x:v>LCP y ligamentos colaterales sin alteraciones significativas</x:v>
      </x:c>
      <x:c r="J100" s="9" t="str">
        <x:v>True</x:v>
      </x:c>
      <x:c r="K100" s="9" t="str"/>
      <x:c r="L100" t="str">
        <x:v>gemma4:e4b</x:v>
      </x:c>
    </x:row>
    <x:row r="101" ht="38" customHeight="1">
      <x:c r="A101" t="n">
        <x:v>537</x:v>
      </x:c>
      <x:c r="B101" t="str">
        <x:v>1.2.826.0.1.3680043.8.498.11557620559191469069130827959098335840</x:v>
      </x:c>
      <x:c r="C101" t="str">
        <x:v>Spanish</x:v>
      </x:c>
      <x:c r="D101" t="str">
        <x:v>Medial Meniscus</x:v>
      </x:c>
      <x:c r="E101" s="21" t="n">
        <x:v>0</x:v>
      </x:c>
      <x:c r="F101" s="21"/>
      <x:c r="G101" s="21" t="str">
        <x:f>IF(COUNT(F101)=0,"판정없음",IF(E101=F101,"일치",E101&amp;"→"&amp;F101))</x:f>
        <x:v>판정없음</x:v>
      </x:c>
      <x:c r="H101" t="str">
        <x:v>uncertain_or_indirect</x:v>
      </x:c>
      <x:c r="I101" s="9" t="str">
        <x:v>Aumento de señal central del cuerno posterior y cuerpo del menisco medial que no impresiona contactar con la superficie articular, sin caracteres propios de rotura</x:v>
      </x:c>
      <x:c r="J101" s="9" t="str">
        <x:v>True</x:v>
      </x:c>
      <x:c r="K101" s="9" t="str"/>
      <x:c r="L101" t="str">
        <x:v>gemma4:e4b</x:v>
      </x:c>
    </x:row>
    <x:row r="102" ht="38" customHeight="1">
      <x:c r="A102" t="n">
        <x:v>537</x:v>
      </x:c>
      <x:c r="B102" t="str">
        <x:v>1.2.826.0.1.3680043.8.498.11557620559191469069130827959098335840</x:v>
      </x:c>
      <x:c r="C102" t="str">
        <x:v>Spanish</x:v>
      </x:c>
      <x:c r="D102" t="str">
        <x:v>Medial OA</x:v>
      </x:c>
      <x:c r="E102" s="21" t="n">
        <x:v>0</x:v>
      </x:c>
      <x:c r="F102" s="21"/>
      <x:c r="G102" s="21" t="str">
        <x:f>IF(COUNT(F102)=0,"판정없음",IF(E102=F102,"일치",E102&amp;"→"&amp;F102))</x:f>
        <x:v>판정없음</x:v>
      </x:c>
      <x:c r="H102" t="str">
        <x:v>not_mentioned</x:v>
      </x:c>
      <x:c r="I102" s="9" t="str"/>
      <x:c r="J102" s="9" t="str">
        <x:v>True</x:v>
      </x:c>
      <x:c r="K102" s="9" t="str"/>
      <x:c r="L102" t="str">
        <x:v>gemma4:e4b</x:v>
      </x:c>
    </x:row>
    <x:row r="103" ht="38" customHeight="1">
      <x:c r="A103" t="n">
        <x:v>537</x:v>
      </x:c>
      <x:c r="B103" t="str">
        <x:v>1.2.826.0.1.3680043.8.498.11557620559191469069130827959098335840</x:v>
      </x:c>
      <x:c r="C103" t="str">
        <x:v>Spanish</x:v>
      </x:c>
      <x:c r="D103" t="str">
        <x:v>PF OA</x:v>
      </x:c>
      <x:c r="E103" s="21" t="n">
        <x:v>0</x:v>
      </x:c>
      <x:c r="F103" s="21"/>
      <x:c r="G103" s="21" t="str">
        <x:f>IF(COUNT(F103)=0,"판정없음",IF(E103=F103,"일치",E103&amp;"→"&amp;F103))</x:f>
        <x:v>판정없음</x:v>
      </x:c>
      <x:c r="H103" t="str">
        <x:v>not_mentioned</x:v>
      </x:c>
      <x:c r="I103" s="9" t="str"/>
      <x:c r="J103" s="9" t="str">
        <x:v>True</x:v>
      </x:c>
      <x:c r="K103" s="9" t="str"/>
      <x:c r="L103" t="str">
        <x:v>gemma4:e4b</x:v>
      </x:c>
    </x:row>
    <x:row r="104" ht="38" customHeight="1">
      <x:c r="A104" t="n">
        <x:v>537</x:v>
      </x:c>
      <x:c r="B104" t="str">
        <x:v>1.2.826.0.1.3680043.8.498.11557620559191469069130827959098335840</x:v>
      </x:c>
      <x:c r="C104" t="str">
        <x:v>Spanish</x:v>
      </x:c>
      <x:c r="D104" t="str">
        <x:v>Synovitis</x:v>
      </x:c>
      <x:c r="E104" s="21" t="n">
        <x:v>0</x:v>
      </x:c>
      <x:c r="F104" s="21"/>
      <x:c r="G104" s="21" t="str">
        <x:f>IF(COUNT(F104)=0,"판정없음",IF(E104=F104,"일치",E104&amp;"→"&amp;F104))</x:f>
        <x:v>판정없음</x:v>
      </x:c>
      <x:c r="H104" t="str">
        <x:v>not_mentioned</x:v>
      </x:c>
      <x:c r="I104" s="9" t="str"/>
      <x:c r="J104" s="9" t="str">
        <x:v>True</x:v>
      </x:c>
      <x:c r="K104" s="9" t="str"/>
      <x:c r="L104" t="str">
        <x:v>gemma4:e4b</x:v>
      </x:c>
    </x:row>
    <x:row r="105" ht="38" customHeight="1">
      <x:c r="A105" t="n">
        <x:v>607</x:v>
      </x:c>
      <x:c r="B105" t="str">
        <x:v>1.2.826.0.1.3680043.8.498.11771393824519892797114773408583976756</x:v>
      </x:c>
      <x:c r="C105" t="str">
        <x:v>English</x:v>
      </x:c>
      <x:c r="D105" t="str">
        <x:v>ACL</x:v>
      </x:c>
      <x:c r="E105" s="21" t="n">
        <x:v>0</x:v>
      </x:c>
      <x:c r="F105" s="21"/>
      <x:c r="G105" s="21" t="str">
        <x:f>IF(COUNT(F105)=0,"판정없음",IF(E105=F105,"일치",E105&amp;"→"&amp;F105))</x:f>
        <x:v>판정없음</x:v>
      </x:c>
      <x:c r="H105" t="str">
        <x:v>uncertain_or_indirect</x:v>
      </x:c>
      <x:c r="I105" s="9" t="str">
        <x:v>Interstitial hyperintense signal of ACL, in favor of grade 1 injury.</x:v>
      </x:c>
      <x:c r="J105" s="9" t="str">
        <x:v>True</x:v>
      </x:c>
      <x:c r="K105" s="9" t="str">
        <x:v>ACL</x:v>
      </x:c>
      <x:c r="L105" t="str">
        <x:v>gemma4:e4b</x:v>
      </x:c>
    </x:row>
    <x:row r="106" ht="38" customHeight="1">
      <x:c r="A106" t="n">
        <x:v>607</x:v>
      </x:c>
      <x:c r="B106" t="str">
        <x:v>1.2.826.0.1.3680043.8.498.11771393824519892797114773408583976756</x:v>
      </x:c>
      <x:c r="C106" t="str">
        <x:v>English</x:v>
      </x:c>
      <x:c r="D106" t="str">
        <x:v>Baker's</x:v>
      </x:c>
      <x:c r="E106" s="21" t="n">
        <x:v>0</x:v>
      </x:c>
      <x:c r="F106" s="21"/>
      <x:c r="G106" s="21" t="str">
        <x:f>IF(COUNT(F106)=0,"판정없음",IF(E106=F106,"일치",E106&amp;"→"&amp;F106))</x:f>
        <x:v>판정없음</x:v>
      </x:c>
      <x:c r="H106" t="str">
        <x:v>not_mentioned</x:v>
      </x:c>
      <x:c r="I106" s="9" t="str"/>
      <x:c r="J106" s="9" t="str">
        <x:v>True</x:v>
      </x:c>
      <x:c r="K106" s="9" t="str"/>
      <x:c r="L106" t="str">
        <x:v>gemma4:e4b</x:v>
      </x:c>
    </x:row>
    <x:row r="107" ht="38" customHeight="1">
      <x:c r="A107" t="n">
        <x:v>607</x:v>
      </x:c>
      <x:c r="B107" t="str">
        <x:v>1.2.826.0.1.3680043.8.498.11771393824519892797114773408583976756</x:v>
      </x:c>
      <x:c r="C107" t="str">
        <x:v>English</x:v>
      </x:c>
      <x:c r="D107" t="str">
        <x:v>Contusion</x:v>
      </x:c>
      <x:c r="E107" s="21" t="n">
        <x:v>1</x:v>
      </x:c>
      <x:c r="F107" s="21" t="n">
        <x:v>1</x:v>
      </x:c>
      <x:c r="G107" s="21" t="str">
        <x:f>IF(COUNT(F107)=0,"판정없음",IF(E107=F107,"일치",E107&amp;"→"&amp;F107))</x:f>
        <x:v>일치</x:v>
      </x:c>
      <x:c r="H107" t="str">
        <x:v>explicit_positive</x:v>
      </x:c>
      <x:c r="I107" s="9" t="str">
        <x:v>Bone marrow edema in bilateral femoral condyles and anteromedial and posterolateral aspect of proximal tibia, suspect bone contusion.</x:v>
      </x:c>
      <x:c r="J107" s="9" t="str">
        <x:v>True</x:v>
      </x:c>
      <x:c r="K107" s="9" t="str">
        <x:v>bone contusion</x:v>
      </x:c>
      <x:c r="L107" t="str">
        <x:v>gemma4:e4b</x:v>
      </x:c>
    </x:row>
    <x:row r="108" ht="38" customHeight="1">
      <x:c r="A108" t="n">
        <x:v>607</x:v>
      </x:c>
      <x:c r="B108" t="str">
        <x:v>1.2.826.0.1.3680043.8.498.11771393824519892797114773408583976756</x:v>
      </x:c>
      <x:c r="C108" t="str">
        <x:v>English</x:v>
      </x:c>
      <x:c r="D108" t="str">
        <x:v>Effusion</x:v>
      </x:c>
      <x:c r="E108" s="21" t="n">
        <x:v>0</x:v>
      </x:c>
      <x:c r="F108" s="21" t="n">
        <x:v>1</x:v>
      </x:c>
      <x:c r="G108" s="21" t="str">
        <x:f>IF(COUNT(F108)=0,"판정없음",IF(E108=F108,"일치",E108&amp;"→"&amp;F108))</x:f>
        <x:v>0→1</x:v>
      </x:c>
      <x:c r="H108" t="str">
        <x:v>explicit_positive</x:v>
      </x:c>
      <x:c r="I108" s="9" t="str">
        <x:v>Some joint effusion of right knee</x:v>
      </x:c>
      <x:c r="J108" s="9" t="str">
        <x:v>True</x:v>
      </x:c>
      <x:c r="K108" s="9" t="str"/>
      <x:c r="L108" t="str">
        <x:v>gemma4:e4b</x:v>
      </x:c>
    </x:row>
    <x:row r="109" ht="38" customHeight="1">
      <x:c r="A109" t="n">
        <x:v>607</x:v>
      </x:c>
      <x:c r="B109" t="str">
        <x:v>1.2.826.0.1.3680043.8.498.11771393824519892797114773408583976756</x:v>
      </x:c>
      <x:c r="C109" t="str">
        <x:v>English</x:v>
      </x:c>
      <x:c r="D109" t="str">
        <x:v>Fracture</x:v>
      </x:c>
      <x:c r="E109" s="21" t="n">
        <x:v>0</x:v>
      </x:c>
      <x:c r="F109" s="21"/>
      <x:c r="G109" s="21" t="str">
        <x:f>IF(COUNT(F109)=0,"판정없음",IF(E109=F109,"일치",E109&amp;"→"&amp;F109))</x:f>
        <x:v>판정없음</x:v>
      </x:c>
      <x:c r="H109" t="str">
        <x:v>not_mentioned</x:v>
      </x:c>
      <x:c r="I109" s="9" t="str"/>
      <x:c r="J109" s="9" t="str">
        <x:v>True</x:v>
      </x:c>
      <x:c r="K109" s="9" t="str"/>
      <x:c r="L109" t="str">
        <x:v>gemma4:e4b</x:v>
      </x:c>
    </x:row>
    <x:row r="110" ht="38" customHeight="1">
      <x:c r="A110" t="n">
        <x:v>607</x:v>
      </x:c>
      <x:c r="B110" t="str">
        <x:v>1.2.826.0.1.3680043.8.498.11771393824519892797114773408583976756</x:v>
      </x:c>
      <x:c r="C110" t="str">
        <x:v>English</x:v>
      </x:c>
      <x:c r="D110" t="str">
        <x:v>Lateral Meniscus</x:v>
      </x:c>
      <x:c r="E110" s="21" t="n">
        <x:v>0</x:v>
      </x:c>
      <x:c r="F110" s="21" t="n">
        <x:v>0</x:v>
      </x:c>
      <x:c r="G110" s="21" t="str">
        <x:f>IF(COUNT(F110)=0,"판정없음",IF(E110=F110,"일치",E110&amp;"→"&amp;F110))</x:f>
        <x:v>일치</x:v>
      </x:c>
      <x:c r="H110" t="str">
        <x:v>explicit_negative</x:v>
      </x:c>
      <x:c r="I110" s="9" t="str">
        <x:v>No evidence of tear noted in either medial or lateral meniscus in this study.</x:v>
      </x:c>
      <x:c r="J110" s="9" t="str">
        <x:v>True</x:v>
      </x:c>
      <x:c r="K110" s="9" t="str"/>
      <x:c r="L110" t="str">
        <x:v>gemma4:e4b</x:v>
      </x:c>
    </x:row>
    <x:row r="111" ht="38" customHeight="1">
      <x:c r="A111" t="n">
        <x:v>607</x:v>
      </x:c>
      <x:c r="B111" t="str">
        <x:v>1.2.826.0.1.3680043.8.498.11771393824519892797114773408583976756</x:v>
      </x:c>
      <x:c r="C111" t="str">
        <x:v>English</x:v>
      </x:c>
      <x:c r="D111" t="str">
        <x:v>Lateral OA</x:v>
      </x:c>
      <x:c r="E111" s="21" t="n">
        <x:v>0</x:v>
      </x:c>
      <x:c r="F111" s="21"/>
      <x:c r="G111" s="21" t="str">
        <x:f>IF(COUNT(F111)=0,"판정없음",IF(E111=F111,"일치",E111&amp;"→"&amp;F111))</x:f>
        <x:v>판정없음</x:v>
      </x:c>
      <x:c r="H111" t="str">
        <x:v>not_mentioned</x:v>
      </x:c>
      <x:c r="I111" s="9" t="str"/>
      <x:c r="J111" s="9" t="str">
        <x:v>True</x:v>
      </x:c>
      <x:c r="K111" s="9" t="str"/>
      <x:c r="L111" t="str">
        <x:v>gemma4:e4b</x:v>
      </x:c>
    </x:row>
    <x:row r="112" ht="38" customHeight="1">
      <x:c r="A112" t="n">
        <x:v>607</x:v>
      </x:c>
      <x:c r="B112" t="str">
        <x:v>1.2.826.0.1.3680043.8.498.11771393824519892797114773408583976756</x:v>
      </x:c>
      <x:c r="C112" t="str">
        <x:v>English</x:v>
      </x:c>
      <x:c r="D112" t="str">
        <x:v>MCL</x:v>
      </x:c>
      <x:c r="E112" s="21" t="n">
        <x:v>1</x:v>
      </x:c>
      <x:c r="F112" s="21"/>
      <x:c r="G112" s="21" t="str">
        <x:f>IF(COUNT(F112)=0,"판정없음",IF(E112=F112,"일치",E112&amp;"→"&amp;F112))</x:f>
        <x:v>판정없음</x:v>
      </x:c>
      <x:c r="H112" t="str">
        <x:v>uncertain_or_indirect</x:v>
      </x:c>
      <x:c r="I112" s="9" t="str">
        <x:v>suspect grade 2 injury</x:v>
      </x:c>
      <x:c r="J112" s="9" t="str">
        <x:v>True</x:v>
      </x:c>
      <x:c r="K112" s="9" t="str">
        <x:v>MCL</x:v>
      </x:c>
      <x:c r="L112" t="str">
        <x:v>gemma4:e4b</x:v>
      </x:c>
    </x:row>
    <x:row r="113" ht="38" customHeight="1">
      <x:c r="A113" t="n">
        <x:v>607</x:v>
      </x:c>
      <x:c r="B113" t="str">
        <x:v>1.2.826.0.1.3680043.8.498.11771393824519892797114773408583976756</x:v>
      </x:c>
      <x:c r="C113" t="str">
        <x:v>English</x:v>
      </x:c>
      <x:c r="D113" t="str">
        <x:v>Medial Meniscus</x:v>
      </x:c>
      <x:c r="E113" s="21" t="n">
        <x:v>0</x:v>
      </x:c>
      <x:c r="F113" s="21" t="n">
        <x:v>0</x:v>
      </x:c>
      <x:c r="G113" s="21" t="str">
        <x:f>IF(COUNT(F113)=0,"판정없음",IF(E113=F113,"일치",E113&amp;"→"&amp;F113))</x:f>
        <x:v>일치</x:v>
      </x:c>
      <x:c r="H113" t="str">
        <x:v>explicit_negative</x:v>
      </x:c>
      <x:c r="I113" s="9" t="str">
        <x:v>No evidence of tear noted in either medial or lateral meniscus in this study.</x:v>
      </x:c>
      <x:c r="J113" s="9" t="str">
        <x:v>True</x:v>
      </x:c>
      <x:c r="K113" s="9" t="str"/>
      <x:c r="L113" t="str">
        <x:v>gemma4:e4b</x:v>
      </x:c>
    </x:row>
    <x:row r="114" ht="38" customHeight="1">
      <x:c r="A114" t="n">
        <x:v>607</x:v>
      </x:c>
      <x:c r="B114" t="str">
        <x:v>1.2.826.0.1.3680043.8.498.11771393824519892797114773408583976756</x:v>
      </x:c>
      <x:c r="C114" t="str">
        <x:v>English</x:v>
      </x:c>
      <x:c r="D114" t="str">
        <x:v>Medial OA</x:v>
      </x:c>
      <x:c r="E114" s="21" t="n">
        <x:v>0</x:v>
      </x:c>
      <x:c r="F114" s="21"/>
      <x:c r="G114" s="21" t="str">
        <x:f>IF(COUNT(F114)=0,"판정없음",IF(E114=F114,"일치",E114&amp;"→"&amp;F114))</x:f>
        <x:v>판정없음</x:v>
      </x:c>
      <x:c r="H114" t="str">
        <x:v>not_mentioned</x:v>
      </x:c>
      <x:c r="I114" s="9" t="str"/>
      <x:c r="J114" s="9" t="str">
        <x:v>True</x:v>
      </x:c>
      <x:c r="K114" s="9" t="str"/>
      <x:c r="L114" t="str">
        <x:v>gemma4:e4b</x:v>
      </x:c>
    </x:row>
    <x:row r="115" ht="38" customHeight="1">
      <x:c r="A115" t="n">
        <x:v>607</x:v>
      </x:c>
      <x:c r="B115" t="str">
        <x:v>1.2.826.0.1.3680043.8.498.11771393824519892797114773408583976756</x:v>
      </x:c>
      <x:c r="C115" t="str">
        <x:v>English</x:v>
      </x:c>
      <x:c r="D115" t="str">
        <x:v>PF OA</x:v>
      </x:c>
      <x:c r="E115" s="21" t="n">
        <x:v>0</x:v>
      </x:c>
      <x:c r="F115" s="21"/>
      <x:c r="G115" s="21" t="str">
        <x:f>IF(COUNT(F115)=0,"판정없음",IF(E115=F115,"일치",E115&amp;"→"&amp;F115))</x:f>
        <x:v>판정없음</x:v>
      </x:c>
      <x:c r="H115" t="str">
        <x:v>not_mentioned</x:v>
      </x:c>
      <x:c r="I115" s="9" t="str"/>
      <x:c r="J115" s="9" t="str">
        <x:v>True</x:v>
      </x:c>
      <x:c r="K115" s="9" t="str"/>
      <x:c r="L115" t="str">
        <x:v>gemma4:e4b</x:v>
      </x:c>
    </x:row>
    <x:row r="116" ht="38" customHeight="1">
      <x:c r="A116" t="n">
        <x:v>607</x:v>
      </x:c>
      <x:c r="B116" t="str">
        <x:v>1.2.826.0.1.3680043.8.498.11771393824519892797114773408583976756</x:v>
      </x:c>
      <x:c r="C116" t="str">
        <x:v>English</x:v>
      </x:c>
      <x:c r="D116" t="str">
        <x:v>Synovitis</x:v>
      </x:c>
      <x:c r="E116" s="21" t="n">
        <x:v>0</x:v>
      </x:c>
      <x:c r="F116" s="21" t="n">
        <x:v>1</x:v>
      </x:c>
      <x:c r="G116" s="21" t="str">
        <x:f>IF(COUNT(F116)=0,"판정없음",IF(E116=F116,"일치",E116&amp;"→"&amp;F116))</x:f>
        <x:v>0→1</x:v>
      </x:c>
      <x:c r="H116" t="str">
        <x:v>explicit_positive</x:v>
      </x:c>
      <x:c r="I116" s="9" t="str">
        <x:v>mild hypertrophy of the synovium, indicative of synovitis</x:v>
      </x:c>
      <x:c r="J116" s="9" t="str">
        <x:v>True</x:v>
      </x:c>
      <x:c r="K116" s="9" t="str"/>
      <x:c r="L116" t="str">
        <x:v>gemma4:e4b</x:v>
      </x:c>
    </x:row>
    <x:row r="117" ht="38" customHeight="1">
      <x:c r="A117" t="n">
        <x:v>632</x:v>
      </x:c>
      <x:c r="B117" t="str">
        <x:v>1.2.826.0.1.3680043.8.498.11851412923016044948101698015974810604</x:v>
      </x:c>
      <x:c r="C117" t="str">
        <x:v>English</x:v>
      </x:c>
      <x:c r="D117" t="str">
        <x:v>ACL</x:v>
      </x:c>
      <x:c r="E117" s="21" t="n">
        <x:v>0</x:v>
      </x:c>
      <x:c r="F117" s="21" t="n">
        <x:v>0</x:v>
      </x:c>
      <x:c r="G117" s="21" t="str">
        <x:f>IF(COUNT(F117)=0,"판정없음",IF(E117=F117,"일치",E117&amp;"→"&amp;F117))</x:f>
        <x:v>일치</x:v>
      </x:c>
      <x:c r="H117" t="str">
        <x:v>explicit_negative</x:v>
      </x:c>
      <x:c r="I117" s="9" t="str">
        <x:v>Normal with both bundles intact</x:v>
      </x:c>
      <x:c r="J117" s="9" t="str">
        <x:v>True</x:v>
      </x:c>
      <x:c r="K117" s="9" t="str"/>
      <x:c r="L117" t="str">
        <x:v>gemma4:e4b</x:v>
      </x:c>
    </x:row>
    <x:row r="118" ht="38" customHeight="1">
      <x:c r="A118" t="n">
        <x:v>632</x:v>
      </x:c>
      <x:c r="B118" t="str">
        <x:v>1.2.826.0.1.3680043.8.498.11851412923016044948101698015974810604</x:v>
      </x:c>
      <x:c r="C118" t="str">
        <x:v>English</x:v>
      </x:c>
      <x:c r="D118" t="str">
        <x:v>Baker's</x:v>
      </x:c>
      <x:c r="E118" s="21" t="n">
        <x:v>0</x:v>
      </x:c>
      <x:c r="F118" s="21"/>
      <x:c r="G118" s="21" t="str">
        <x:f>IF(COUNT(F118)=0,"판정없음",IF(E118=F118,"일치",E118&amp;"→"&amp;F118))</x:f>
        <x:v>판정없음</x:v>
      </x:c>
      <x:c r="H118" t="str">
        <x:v>uncertain_or_indirect</x:v>
      </x:c>
      <x:c r="I118" s="9" t="str">
        <x:v>Trace Baker's cyst</x:v>
      </x:c>
      <x:c r="J118" s="9" t="str">
        <x:v>True</x:v>
      </x:c>
      <x:c r="K118" s="9" t="str"/>
      <x:c r="L118" t="str">
        <x:v>gemma4:e4b</x:v>
      </x:c>
    </x:row>
    <x:row r="119" ht="38" customHeight="1">
      <x:c r="A119" t="n">
        <x:v>632</x:v>
      </x:c>
      <x:c r="B119" t="str">
        <x:v>1.2.826.0.1.3680043.8.498.11851412923016044948101698015974810604</x:v>
      </x:c>
      <x:c r="C119" t="str">
        <x:v>English</x:v>
      </x:c>
      <x:c r="D119" t="str">
        <x:v>Contusion</x:v>
      </x:c>
      <x:c r="E119" s="21" t="n">
        <x:v>0</x:v>
      </x:c>
      <x:c r="F119" s="21"/>
      <x:c r="G119" s="21" t="str">
        <x:f>IF(COUNT(F119)=0,"판정없음",IF(E119=F119,"일치",E119&amp;"→"&amp;F119))</x:f>
        <x:v>판정없음</x:v>
      </x:c>
      <x:c r="H119" t="str">
        <x:v>not_mentioned</x:v>
      </x:c>
      <x:c r="I119" s="9" t="str"/>
      <x:c r="J119" s="9" t="str">
        <x:v>True</x:v>
      </x:c>
      <x:c r="K119" s="9" t="str"/>
      <x:c r="L119" t="str">
        <x:v>gemma4:e4b</x:v>
      </x:c>
    </x:row>
    <x:row r="120" ht="38" customHeight="1">
      <x:c r="A120" t="n">
        <x:v>632</x:v>
      </x:c>
      <x:c r="B120" t="str">
        <x:v>1.2.826.0.1.3680043.8.498.11851412923016044948101698015974810604</x:v>
      </x:c>
      <x:c r="C120" t="str">
        <x:v>English</x:v>
      </x:c>
      <x:c r="D120" t="str">
        <x:v>Effusion</x:v>
      </x:c>
      <x:c r="E120" s="21" t="n">
        <x:v>1</x:v>
      </x:c>
      <x:c r="F120" s="21" t="n">
        <x:v>1</x:v>
      </x:c>
      <x:c r="G120" s="21" t="str">
        <x:f>IF(COUNT(F120)=0,"판정없음",IF(E120=F120,"일치",E120&amp;"→"&amp;F120))</x:f>
        <x:v>일치</x:v>
      </x:c>
      <x:c r="H120" t="str">
        <x:v>explicit_positive</x:v>
      </x:c>
      <x:c r="I120" s="9" t="str">
        <x:v>Small joint effusion</x:v>
      </x:c>
      <x:c r="J120" s="9" t="str">
        <x:v>True</x:v>
      </x:c>
      <x:c r="K120" s="9" t="str"/>
      <x:c r="L120" t="str">
        <x:v>gemma4:e4b</x:v>
      </x:c>
    </x:row>
    <x:row r="121" ht="38" customHeight="1">
      <x:c r="A121" t="n">
        <x:v>632</x:v>
      </x:c>
      <x:c r="B121" t="str">
        <x:v>1.2.826.0.1.3680043.8.498.11851412923016044948101698015974810604</x:v>
      </x:c>
      <x:c r="C121" t="str">
        <x:v>English</x:v>
      </x:c>
      <x:c r="D121" t="str">
        <x:v>Fracture</x:v>
      </x:c>
      <x:c r="E121" s="21" t="n">
        <x:v>1</x:v>
      </x:c>
      <x:c r="F121" s="21" t="n">
        <x:v>1</x:v>
      </x:c>
      <x:c r="G121" s="21" t="str">
        <x:f>IF(COUNT(F121)=0,"판정없음",IF(E121=F121,"일치",E121&amp;"→"&amp;F121))</x:f>
        <x:v>일치</x:v>
      </x:c>
      <x:c r="H121" t="str">
        <x:v>explicit_positive</x:v>
      </x:c>
      <x:c r="I121" s="9" t="str">
        <x:v>Subchondral insufficiency fracture at the medial margin of the medial tibial plateau without articular surface collapse</x:v>
      </x:c>
      <x:c r="J121" s="9" t="str">
        <x:v>True</x:v>
      </x:c>
      <x:c r="K121" s="9" t="str">
        <x:v>medial tibial plateau</x:v>
      </x:c>
      <x:c r="L121" t="str">
        <x:v>gemma4:e4b</x:v>
      </x:c>
    </x:row>
    <x:row r="122" ht="38" customHeight="1">
      <x:c r="A122" t="n">
        <x:v>632</x:v>
      </x:c>
      <x:c r="B122" t="str">
        <x:v>1.2.826.0.1.3680043.8.498.11851412923016044948101698015974810604</x:v>
      </x:c>
      <x:c r="C122" t="str">
        <x:v>English</x:v>
      </x:c>
      <x:c r="D122" t="str">
        <x:v>Lateral Meniscus</x:v>
      </x:c>
      <x:c r="E122" s="21" t="n">
        <x:v>1</x:v>
      </x:c>
      <x:c r="F122" s="21" t="n">
        <x:v>1</x:v>
      </x:c>
      <x:c r="G122" s="21" t="str">
        <x:f>IF(COUNT(F122)=0,"판정없음",IF(E122=F122,"일치",E122&amp;"→"&amp;F122))</x:f>
        <x:v>일치</x:v>
      </x:c>
      <x:c r="H122" t="str">
        <x:v>explicit_positive</x:v>
      </x:c>
      <x:c r="I122" s="9" t="str">
        <x:v>Partial inner margin radial tear at the anterior horn/body junction of the lateral meniscus without extrusion</x:v>
      </x:c>
      <x:c r="J122" s="9" t="str">
        <x:v>True</x:v>
      </x:c>
      <x:c r="K122" s="9" t="str"/>
      <x:c r="L122" t="str">
        <x:v>gemma4:e4b</x:v>
      </x:c>
    </x:row>
    <x:row r="123" ht="38" customHeight="1">
      <x:c r="A123" t="n">
        <x:v>632</x:v>
      </x:c>
      <x:c r="B123" t="str">
        <x:v>1.2.826.0.1.3680043.8.498.11851412923016044948101698015974810604</x:v>
      </x:c>
      <x:c r="C123" t="str">
        <x:v>English</x:v>
      </x:c>
      <x:c r="D123" t="str">
        <x:v>Lateral OA</x:v>
      </x:c>
      <x:c r="E123" s="21" t="n">
        <x:v>0</x:v>
      </x:c>
      <x:c r="F123" s="21" t="n">
        <x:v>1</x:v>
      </x:c>
      <x:c r="G123" s="21" t="str">
        <x:f>IF(COUNT(F123)=0,"판정없음",IF(E123=F123,"일치",E123&amp;"→"&amp;F123))</x:f>
        <x:v>0→1</x:v>
      </x:c>
      <x:c r="H123" t="str">
        <x:v>explicit_positive</x:v>
      </x:c>
      <x:c r="I123" s="9" t="str">
        <x:v>High-grade cartilage fissuring along the posterior lateral tibial plateau</x:v>
      </x:c>
      <x:c r="J123" s="9" t="str">
        <x:v>True</x:v>
      </x:c>
      <x:c r="K123" s="9" t="str">
        <x:v>weightbearing lateral femoral condyle</x:v>
      </x:c>
      <x:c r="L123" t="str">
        <x:v>gemma4:e4b</x:v>
      </x:c>
    </x:row>
    <x:row r="124" ht="38" customHeight="1">
      <x:c r="A124" t="n">
        <x:v>632</x:v>
      </x:c>
      <x:c r="B124" t="str">
        <x:v>1.2.826.0.1.3680043.8.498.11851412923016044948101698015974810604</x:v>
      </x:c>
      <x:c r="C124" t="str">
        <x:v>English</x:v>
      </x:c>
      <x:c r="D124" t="str">
        <x:v>MCL</x:v>
      </x:c>
      <x:c r="E124" s="21" t="n">
        <x:v>0</x:v>
      </x:c>
      <x:c r="F124" s="21" t="n">
        <x:v>0</x:v>
      </x:c>
      <x:c r="G124" s="21" t="str">
        <x:f>IF(COUNT(F124)=0,"판정없음",IF(E124=F124,"일치",E124&amp;"→"&amp;F124))</x:f>
        <x:v>일치</x:v>
      </x:c>
      <x:c r="H124" t="str">
        <x:v>explicit_negative</x:v>
      </x:c>
      <x:c r="I124" s="9" t="str">
        <x:v>Normal</x:v>
      </x:c>
      <x:c r="J124" s="9" t="str">
        <x:v>True</x:v>
      </x:c>
      <x:c r="K124" s="9" t="str"/>
      <x:c r="L124" t="str">
        <x:v>gemma4:e4b</x:v>
      </x:c>
    </x:row>
    <x:row r="125" ht="38" customHeight="1">
      <x:c r="A125" t="n">
        <x:v>632</x:v>
      </x:c>
      <x:c r="B125" t="str">
        <x:v>1.2.826.0.1.3680043.8.498.11851412923016044948101698015974810604</x:v>
      </x:c>
      <x:c r="C125" t="str">
        <x:v>English</x:v>
      </x:c>
      <x:c r="D125" t="str">
        <x:v>Medial Meniscus</x:v>
      </x:c>
      <x:c r="E125" s="21" t="n">
        <x:v>1</x:v>
      </x:c>
      <x:c r="F125" s="21" t="n">
        <x:v>1</x:v>
      </x:c>
      <x:c r="G125" s="21" t="str">
        <x:f>IF(COUNT(F125)=0,"판정없음",IF(E125=F125,"일치",E125&amp;"→"&amp;F125))</x:f>
        <x:v>일치</x:v>
      </x:c>
      <x:c r="H125" t="str">
        <x:v>explicit_positive</x:v>
      </x:c>
      <x:c r="I125" s="9" t="str">
        <x:v>Complete radial tear of the posterior root of medial meniscus with mild extrusion</x:v>
      </x:c>
      <x:c r="J125" s="9" t="str">
        <x:v>True</x:v>
      </x:c>
      <x:c r="K125" s="9" t="str"/>
      <x:c r="L125" t="str">
        <x:v>gemma4:e4b</x:v>
      </x:c>
    </x:row>
    <x:row r="126" ht="38" customHeight="1">
      <x:c r="A126" t="n">
        <x:v>632</x:v>
      </x:c>
      <x:c r="B126" t="str">
        <x:v>1.2.826.0.1.3680043.8.498.11851412923016044948101698015974810604</x:v>
      </x:c>
      <x:c r="C126" t="str">
        <x:v>English</x:v>
      </x:c>
      <x:c r="D126" t="str">
        <x:v>Medial OA</x:v>
      </x:c>
      <x:c r="E126" s="21" t="n">
        <x:v>1</x:v>
      </x:c>
      <x:c r="F126" s="21" t="n">
        <x:v>1</x:v>
      </x:c>
      <x:c r="G126" s="21" t="str">
        <x:f>IF(COUNT(F126)=0,"판정없음",IF(E126=F126,"일치",E126&amp;"→"&amp;F126))</x:f>
        <x:v>일치</x:v>
      </x:c>
      <x:c r="H126" t="str">
        <x:v>explicit_positive</x:v>
      </x:c>
      <x:c r="I126" s="9" t="str">
        <x:v>High-grade cartilage fissuring along the posterior weightbearing medial femoral condyle</x:v>
      </x:c>
      <x:c r="J126" s="9" t="str">
        <x:v>True</x:v>
      </x:c>
      <x:c r="K126" s="9" t="str">
        <x:v>medial joint line</x:v>
      </x:c>
      <x:c r="L126" t="str">
        <x:v>gemma4:e4b</x:v>
      </x:c>
    </x:row>
    <x:row r="127" ht="38" customHeight="1">
      <x:c r="A127" t="n">
        <x:v>632</x:v>
      </x:c>
      <x:c r="B127" t="str">
        <x:v>1.2.826.0.1.3680043.8.498.11851412923016044948101698015974810604</x:v>
      </x:c>
      <x:c r="C127" t="str">
        <x:v>English</x:v>
      </x:c>
      <x:c r="D127" t="str">
        <x:v>PF OA</x:v>
      </x:c>
      <x:c r="E127" s="21" t="n">
        <x:v>1</x:v>
      </x:c>
      <x:c r="F127" s="21" t="n">
        <x:v>1</x:v>
      </x:c>
      <x:c r="G127" s="21" t="str">
        <x:f>IF(COUNT(F127)=0,"판정없음",IF(E127=F127,"일치",E127&amp;"→"&amp;F127))</x:f>
        <x:v>일치</x:v>
      </x:c>
      <x:c r="H127" t="str">
        <x:v>explicit_positive</x:v>
      </x:c>
      <x:c r="I127" s="9" t="str">
        <x:v>Low-grade cartilage fissuring along the central trochlea</x:v>
      </x:c>
      <x:c r="J127" s="9" t="str">
        <x:v>True</x:v>
      </x:c>
      <x:c r="K127" s="9" t="str">
        <x:v>medial patellar facet</x:v>
      </x:c>
      <x:c r="L127" t="str">
        <x:v>gemma4:e4b</x:v>
      </x:c>
    </x:row>
    <x:row r="128" ht="38" customHeight="1">
      <x:c r="A128" t="n">
        <x:v>632</x:v>
      </x:c>
      <x:c r="B128" t="str">
        <x:v>1.2.826.0.1.3680043.8.498.11851412923016044948101698015974810604</x:v>
      </x:c>
      <x:c r="C128" t="str">
        <x:v>English</x:v>
      </x:c>
      <x:c r="D128" t="str">
        <x:v>Synovitis</x:v>
      </x:c>
      <x:c r="E128" s="21" t="n">
        <x:v>0</x:v>
      </x:c>
      <x:c r="F128" s="21"/>
      <x:c r="G128" s="21" t="str">
        <x:f>IF(COUNT(F128)=0,"판정없음",IF(E128=F128,"일치",E128&amp;"→"&amp;F128))</x:f>
        <x:v>판정없음</x:v>
      </x:c>
      <x:c r="H128" t="str">
        <x:v>not_mentioned</x:v>
      </x:c>
      <x:c r="I128" s="9" t="str"/>
      <x:c r="J128" s="9" t="str">
        <x:v>True</x:v>
      </x:c>
      <x:c r="K128" s="9" t="str"/>
      <x:c r="L128" t="str">
        <x:v>gemma4:e4b</x:v>
      </x:c>
    </x:row>
    <x:row r="129" ht="38" customHeight="1">
      <x:c r="A129" t="n">
        <x:v>656</x:v>
      </x:c>
      <x:c r="B129" t="str">
        <x:v>1.2.826.0.1.3680043.8.498.11915937982684988073644209606907169581</x:v>
      </x:c>
      <x:c r="C129" t="str">
        <x:v>English</x:v>
      </x:c>
      <x:c r="D129" t="str">
        <x:v>ACL</x:v>
      </x:c>
      <x:c r="E129" s="21" t="n">
        <x:v>0</x:v>
      </x:c>
      <x:c r="F129" s="21" t="n">
        <x:v>0</x:v>
      </x:c>
      <x:c r="G129" s="21" t="str">
        <x:f>IF(COUNT(F129)=0,"판정없음",IF(E129=F129,"일치",E129&amp;"→"&amp;F129))</x:f>
        <x:v>일치</x:v>
      </x:c>
      <x:c r="H129" t="str">
        <x:v>explicit_negative</x:v>
      </x:c>
      <x:c r="I129" s="9" t="str">
        <x:v>The anterior and posterior cruciate ligaments are unremarkable.</x:v>
      </x:c>
      <x:c r="J129" s="9" t="str">
        <x:v>True</x:v>
      </x:c>
      <x:c r="K129" s="9" t="str">
        <x:v>anterior and posterior cruciate ligaments</x:v>
      </x:c>
      <x:c r="L129" t="str">
        <x:v>gemma4:e4b</x:v>
      </x:c>
    </x:row>
    <x:row r="130" ht="38" customHeight="1">
      <x:c r="A130" t="n">
        <x:v>656</x:v>
      </x:c>
      <x:c r="B130" t="str">
        <x:v>1.2.826.0.1.3680043.8.498.11915937982684988073644209606907169581</x:v>
      </x:c>
      <x:c r="C130" t="str">
        <x:v>English</x:v>
      </x:c>
      <x:c r="D130" t="str">
        <x:v>Baker's</x:v>
      </x:c>
      <x:c r="E130" s="21" t="n">
        <x:v>1</x:v>
      </x:c>
      <x:c r="F130" s="21" t="n">
        <x:v>1</x:v>
      </x:c>
      <x:c r="G130" s="21" t="str">
        <x:f>IF(COUNT(F130)=0,"판정없음",IF(E130=F130,"일치",E130&amp;"→"&amp;F130))</x:f>
        <x:v>일치</x:v>
      </x:c>
      <x:c r="H130" t="str">
        <x:v>explicit_positive</x:v>
      </x:c>
      <x:c r="I130" s="9" t="str">
        <x:v>Small amount of edema along the inferior margin of the popliteal cyst suggesting a minimal partial rupture.</x:v>
      </x:c>
      <x:c r="J130" s="9" t="str">
        <x:v>True</x:v>
      </x:c>
      <x:c r="K130" s="9" t="str">
        <x:v>popliteal cyst</x:v>
      </x:c>
      <x:c r="L130" t="str">
        <x:v>gemma4:e4b</x:v>
      </x:c>
    </x:row>
    <x:row r="131" ht="38" customHeight="1">
      <x:c r="A131" t="n">
        <x:v>656</x:v>
      </x:c>
      <x:c r="B131" t="str">
        <x:v>1.2.826.0.1.3680043.8.498.11915937982684988073644209606907169581</x:v>
      </x:c>
      <x:c r="C131" t="str">
        <x:v>English</x:v>
      </x:c>
      <x:c r="D131" t="str">
        <x:v>Contusion</x:v>
      </x:c>
      <x:c r="E131" s="21" t="n">
        <x:v>0</x:v>
      </x:c>
      <x:c r="F131" s="21" t="n">
        <x:v>0</x:v>
      </x:c>
      <x:c r="G131" s="21" t="str">
        <x:f>IF(COUNT(F131)=0,"판정없음",IF(E131=F131,"일치",E131&amp;"→"&amp;F131))</x:f>
        <x:v>일치</x:v>
      </x:c>
      <x:c r="H131" t="str">
        <x:v>explicit_negative</x:v>
      </x:c>
      <x:c r="I131" s="9" t="str">
        <x:v>No bone contusion</x:v>
      </x:c>
      <x:c r="J131" s="9" t="str">
        <x:v>False</x:v>
      </x:c>
      <x:c r="K131" s="9" t="str">
        <x:v>bone contusion</x:v>
      </x:c>
      <x:c r="L131" t="str">
        <x:v>gemma4:e4b</x:v>
      </x:c>
    </x:row>
    <x:row r="132" ht="38" customHeight="1">
      <x:c r="A132" t="n">
        <x:v>656</x:v>
      </x:c>
      <x:c r="B132" t="str">
        <x:v>1.2.826.0.1.3680043.8.498.11915937982684988073644209606907169581</x:v>
      </x:c>
      <x:c r="C132" t="str">
        <x:v>English</x:v>
      </x:c>
      <x:c r="D132" t="str">
        <x:v>Effusion</x:v>
      </x:c>
      <x:c r="E132" s="21" t="n">
        <x:v>1</x:v>
      </x:c>
      <x:c r="F132" s="21" t="n">
        <x:v>1</x:v>
      </x:c>
      <x:c r="G132" s="21" t="str">
        <x:f>IF(COUNT(F132)=0,"판정없음",IF(E132=F132,"일치",E132&amp;"→"&amp;F132))</x:f>
        <x:v>일치</x:v>
      </x:c>
      <x:c r="H132" t="str">
        <x:v>explicit_positive</x:v>
      </x:c>
      <x:c r="I132" s="9" t="str">
        <x:v>Small joint effusion with synovial thickening compatible with synovitis.</x:v>
      </x:c>
      <x:c r="J132" s="9" t="str">
        <x:v>True</x:v>
      </x:c>
      <x:c r="K132" s="9" t="str">
        <x:v>joint effusion</x:v>
      </x:c>
      <x:c r="L132" t="str">
        <x:v>gemma4:e4b</x:v>
      </x:c>
    </x:row>
    <x:row r="133" ht="38" customHeight="1">
      <x:c r="A133" t="n">
        <x:v>656</x:v>
      </x:c>
      <x:c r="B133" t="str">
        <x:v>1.2.826.0.1.3680043.8.498.11915937982684988073644209606907169581</x:v>
      </x:c>
      <x:c r="C133" t="str">
        <x:v>English</x:v>
      </x:c>
      <x:c r="D133" t="str">
        <x:v>Fracture</x:v>
      </x:c>
      <x:c r="E133" s="21" t="n">
        <x:v>0</x:v>
      </x:c>
      <x:c r="F133" s="21"/>
      <x:c r="G133" s="21" t="str">
        <x:f>IF(COUNT(F133)=0,"판정없음",IF(E133=F133,"일치",E133&amp;"→"&amp;F133))</x:f>
        <x:v>판정없음</x:v>
      </x:c>
      <x:c r="H133" t="str">
        <x:v>not_mentioned</x:v>
      </x:c>
      <x:c r="I133" s="9" t="str"/>
      <x:c r="J133" s="9" t="str">
        <x:v>True</x:v>
      </x:c>
      <x:c r="K133" s="9" t="str">
        <x:v>fracture</x:v>
      </x:c>
      <x:c r="L133" t="str">
        <x:v>gemma4:e4b</x:v>
      </x:c>
    </x:row>
    <x:row r="134" ht="38" customHeight="1">
      <x:c r="A134" t="n">
        <x:v>656</x:v>
      </x:c>
      <x:c r="B134" t="str">
        <x:v>1.2.826.0.1.3680043.8.498.11915937982684988073644209606907169581</x:v>
      </x:c>
      <x:c r="C134" t="str">
        <x:v>English</x:v>
      </x:c>
      <x:c r="D134" t="str">
        <x:v>Lateral Meniscus</x:v>
      </x:c>
      <x:c r="E134" s="21" t="n">
        <x:v>1</x:v>
      </x:c>
      <x:c r="F134" s="21" t="n">
        <x:v>1</x:v>
      </x:c>
      <x:c r="G134" s="21" t="str">
        <x:f>IF(COUNT(F134)=0,"판정없음",IF(E134=F134,"일치",E134&amp;"→"&amp;F134))</x:f>
        <x:v>일치</x:v>
      </x:c>
      <x:c r="H134" t="str">
        <x:v>explicit_positive</x:v>
      </x:c>
      <x:c r="I134" s="9" t="str">
        <x:v>Complex degenerative tear of the lateral meniscus with tiny displaced fragment.</x:v>
      </x:c>
      <x:c r="J134" s="9" t="str">
        <x:v>True</x:v>
      </x:c>
      <x:c r="K134" s="9" t="str">
        <x:v>lateral meniscus</x:v>
      </x:c>
      <x:c r="L134" t="str">
        <x:v>gemma4:e4b</x:v>
      </x:c>
    </x:row>
    <x:row r="135" ht="38" customHeight="1">
      <x:c r="A135" t="n">
        <x:v>656</x:v>
      </x:c>
      <x:c r="B135" t="str">
        <x:v>1.2.826.0.1.3680043.8.498.11915937982684988073644209606907169581</x:v>
      </x:c>
      <x:c r="C135" t="str">
        <x:v>English</x:v>
      </x:c>
      <x:c r="D135" t="str">
        <x:v>Lateral OA</x:v>
      </x:c>
      <x:c r="E135" s="21" t="n">
        <x:v>1</x:v>
      </x:c>
      <x:c r="F135" s="21" t="n">
        <x:v>1</x:v>
      </x:c>
      <x:c r="G135" s="21" t="str">
        <x:f>IF(COUNT(F135)=0,"판정없음",IF(E135=F135,"일치",E135&amp;"→"&amp;F135))</x:f>
        <x:v>일치</x:v>
      </x:c>
      <x:c r="H135" t="str">
        <x:v>explicit_positive</x:v>
      </x:c>
      <x:c r="I135" s="9" t="str">
        <x:v>Moderate thinning of the articular cartilage of the weightbearing femur and of the tibial plateau.</x:v>
      </x:c>
      <x:c r="J135" s="9" t="str">
        <x:v>True</x:v>
      </x:c>
      <x:c r="K135" s="9" t="str">
        <x:v>lateral compartment</x:v>
      </x:c>
      <x:c r="L135" t="str">
        <x:v>gemma4:e4b</x:v>
      </x:c>
    </x:row>
    <x:row r="136" ht="38" customHeight="1">
      <x:c r="A136" t="n">
        <x:v>656</x:v>
      </x:c>
      <x:c r="B136" t="str">
        <x:v>1.2.826.0.1.3680043.8.498.11915937982684988073644209606907169581</x:v>
      </x:c>
      <x:c r="C136" t="str">
        <x:v>English</x:v>
      </x:c>
      <x:c r="D136" t="str">
        <x:v>MCL</x:v>
      </x:c>
      <x:c r="E136" s="21" t="n">
        <x:v>0</x:v>
      </x:c>
      <x:c r="F136" s="21" t="n">
        <x:v>1</x:v>
      </x:c>
      <x:c r="G136" s="21" t="str">
        <x:f>IF(COUNT(F136)=0,"판정없음",IF(E136=F136,"일치",E136&amp;"→"&amp;F136))</x:f>
        <x:v>0→1</x:v>
      </x:c>
      <x:c r="H136" t="str">
        <x:v>explicit_positive</x:v>
      </x:c>
      <x:c r="I136" s="9" t="str">
        <x:v>Low-grade sprain of the medial collateral ligament.</x:v>
      </x:c>
      <x:c r="J136" s="9" t="str">
        <x:v>True</x:v>
      </x:c>
      <x:c r="K136" s="9" t="str">
        <x:v>medial collateral ligament</x:v>
      </x:c>
      <x:c r="L136" t="str">
        <x:v>gemma4:e4b</x:v>
      </x:c>
    </x:row>
    <x:row r="137" ht="38" customHeight="1">
      <x:c r="A137" t="n">
        <x:v>656</x:v>
      </x:c>
      <x:c r="B137" t="str">
        <x:v>1.2.826.0.1.3680043.8.498.11915937982684988073644209606907169581</x:v>
      </x:c>
      <x:c r="C137" t="str">
        <x:v>English</x:v>
      </x:c>
      <x:c r="D137" t="str">
        <x:v>Medial Meniscus</x:v>
      </x:c>
      <x:c r="E137" s="21" t="n">
        <x:v>0</x:v>
      </x:c>
      <x:c r="F137" s="21"/>
      <x:c r="G137" s="21" t="str">
        <x:f>IF(COUNT(F137)=0,"판정없음",IF(E137=F137,"일치",E137&amp;"→"&amp;F137))</x:f>
        <x:v>판정없음</x:v>
      </x:c>
      <x:c r="H137" t="str">
        <x:v>not_mentioned</x:v>
      </x:c>
      <x:c r="I137" s="9" t="str"/>
      <x:c r="J137" s="9" t="str">
        <x:v>True</x:v>
      </x:c>
      <x:c r="K137" s="9" t="str">
        <x:v>medial meniscus</x:v>
      </x:c>
      <x:c r="L137" t="str">
        <x:v>gemma4:e4b</x:v>
      </x:c>
    </x:row>
    <x:row r="138" ht="38" customHeight="1">
      <x:c r="A138" t="n">
        <x:v>656</x:v>
      </x:c>
      <x:c r="B138" t="str">
        <x:v>1.2.826.0.1.3680043.8.498.11915937982684988073644209606907169581</x:v>
      </x:c>
      <x:c r="C138" t="str">
        <x:v>English</x:v>
      </x:c>
      <x:c r="D138" t="str">
        <x:v>Medial OA</x:v>
      </x:c>
      <x:c r="E138" s="21" t="n">
        <x:v>0</x:v>
      </x:c>
      <x:c r="F138" s="21"/>
      <x:c r="G138" s="21" t="str">
        <x:f>IF(COUNT(F138)=0,"판정없음",IF(E138=F138,"일치",E138&amp;"→"&amp;F138))</x:f>
        <x:v>판정없음</x:v>
      </x:c>
      <x:c r="H138" t="str">
        <x:v>not_mentioned</x:v>
      </x:c>
      <x:c r="I138" s="9" t="str"/>
      <x:c r="J138" s="9" t="str">
        <x:v>True</x:v>
      </x:c>
      <x:c r="K138" s="9" t="str">
        <x:v>medial tibiofemoral compartment</x:v>
      </x:c>
      <x:c r="L138" t="str">
        <x:v>gemma4:e4b</x:v>
      </x:c>
    </x:row>
    <x:row r="139" ht="38" customHeight="1">
      <x:c r="A139" t="n">
        <x:v>656</x:v>
      </x:c>
      <x:c r="B139" t="str">
        <x:v>1.2.826.0.1.3680043.8.498.11915937982684988073644209606907169581</x:v>
      </x:c>
      <x:c r="C139" t="str">
        <x:v>English</x:v>
      </x:c>
      <x:c r="D139" t="str">
        <x:v>PF OA</x:v>
      </x:c>
      <x:c r="E139" s="21" t="n">
        <x:v>1</x:v>
      </x:c>
      <x:c r="F139" s="21" t="n">
        <x:v>1</x:v>
      </x:c>
      <x:c r="G139" s="21" t="str">
        <x:f>IF(COUNT(F139)=0,"판정없음",IF(E139=F139,"일치",E139&amp;"→"&amp;F139))</x:f>
        <x:v>일치</x:v>
      </x:c>
      <x:c r="H139" t="str">
        <x:v>explicit_positive</x:v>
      </x:c>
      <x:c r="I139" s="9" t="str">
        <x:v>Multifocal deep and delaminating fissuring of the articular cartilage of the patellar facet</x:v>
      </x:c>
      <x:c r="J139" s="9" t="str">
        <x:v>True</x:v>
      </x:c>
      <x:c r="K139" s="9" t="str">
        <x:v>patellofemoral compartment</x:v>
      </x:c>
      <x:c r="L139" t="str">
        <x:v>gemma4:e4b</x:v>
      </x:c>
    </x:row>
    <x:row r="140" ht="38" customHeight="1">
      <x:c r="A140" t="n">
        <x:v>656</x:v>
      </x:c>
      <x:c r="B140" t="str">
        <x:v>1.2.826.0.1.3680043.8.498.11915937982684988073644209606907169581</x:v>
      </x:c>
      <x:c r="C140" t="str">
        <x:v>English</x:v>
      </x:c>
      <x:c r="D140" t="str">
        <x:v>Synovitis</x:v>
      </x:c>
      <x:c r="E140" s="21" t="n">
        <x:v>1</x:v>
      </x:c>
      <x:c r="F140" s="21" t="n">
        <x:v>1</x:v>
      </x:c>
      <x:c r="G140" s="21" t="str">
        <x:f>IF(COUNT(F140)=0,"판정없음",IF(E140=F140,"일치",E140&amp;"→"&amp;F140))</x:f>
        <x:v>일치</x:v>
      </x:c>
      <x:c r="H140" t="str">
        <x:v>explicit_positive</x:v>
      </x:c>
      <x:c r="I140" s="9" t="str">
        <x:v>Small joint effusion with synovial thickening compatible with synovitis.</x:v>
      </x:c>
      <x:c r="J140" s="9" t="str">
        <x:v>True</x:v>
      </x:c>
      <x:c r="K140" s="9" t="str">
        <x:v>synovial lining</x:v>
      </x:c>
      <x:c r="L140" t="str">
        <x:v>gemma4:e4b</x:v>
      </x:c>
    </x:row>
    <x:row r="141" ht="38" customHeight="1">
      <x:c r="A141" t="n">
        <x:v>849</x:v>
      </x:c>
      <x:c r="B141" t="str">
        <x:v>1.2.826.0.1.3680043.8.498.12448079646359892252441208258836556945</x:v>
      </x:c>
      <x:c r="C141" t="str">
        <x:v>Spanish</x:v>
      </x:c>
      <x:c r="D141" t="str">
        <x:v>ACL</x:v>
      </x:c>
      <x:c r="E141" s="21" t="n">
        <x:v>0</x:v>
      </x:c>
      <x:c r="F141" s="21"/>
      <x:c r="G141" s="21" t="str">
        <x:f>IF(COUNT(F141)=0,"판정없음",IF(E141=F141,"일치",E141&amp;"→"&amp;F141))</x:f>
        <x:v>판정없음</x:v>
      </x:c>
      <x:c r="H141" t="str">
        <x:v>not_mentioned</x:v>
      </x:c>
      <x:c r="I141" s="9" t="str"/>
      <x:c r="J141" s="9" t="str">
        <x:v>True</x:v>
      </x:c>
      <x:c r="K141" s="9" t="str"/>
      <x:c r="L141" t="str">
        <x:v>gemma4:e4b</x:v>
      </x:c>
    </x:row>
    <x:row r="142" ht="38" customHeight="1">
      <x:c r="A142" t="n">
        <x:v>849</x:v>
      </x:c>
      <x:c r="B142" t="str">
        <x:v>1.2.826.0.1.3680043.8.498.12448079646359892252441208258836556945</x:v>
      </x:c>
      <x:c r="C142" t="str">
        <x:v>Spanish</x:v>
      </x:c>
      <x:c r="D142" t="str">
        <x:v>Baker's</x:v>
      </x:c>
      <x:c r="E142" s="21" t="n">
        <x:v>0</x:v>
      </x:c>
      <x:c r="F142" s="21"/>
      <x:c r="G142" s="21" t="str">
        <x:f>IF(COUNT(F142)=0,"판정없음",IF(E142=F142,"일치",E142&amp;"→"&amp;F142))</x:f>
        <x:v>판정없음</x:v>
      </x:c>
      <x:c r="H142" t="str">
        <x:v>not_mentioned</x:v>
      </x:c>
      <x:c r="I142" s="9" t="str"/>
      <x:c r="J142" s="9" t="str">
        <x:v>True</x:v>
      </x:c>
      <x:c r="K142" s="9" t="str"/>
      <x:c r="L142" t="str">
        <x:v>gemma4:e4b</x:v>
      </x:c>
    </x:row>
    <x:row r="143" ht="38" customHeight="1">
      <x:c r="A143" t="n">
        <x:v>849</x:v>
      </x:c>
      <x:c r="B143" t="str">
        <x:v>1.2.826.0.1.3680043.8.498.12448079646359892252441208258836556945</x:v>
      </x:c>
      <x:c r="C143" t="str">
        <x:v>Spanish</x:v>
      </x:c>
      <x:c r="D143" t="str">
        <x:v>Contusion</x:v>
      </x:c>
      <x:c r="E143" s="21" t="n">
        <x:v>0</x:v>
      </x:c>
      <x:c r="F143" s="21"/>
      <x:c r="G143" s="21" t="str">
        <x:f>IF(COUNT(F143)=0,"판정없음",IF(E143=F143,"일치",E143&amp;"→"&amp;F143))</x:f>
        <x:v>판정없음</x:v>
      </x:c>
      <x:c r="H143" t="str">
        <x:v>not_mentioned</x:v>
      </x:c>
      <x:c r="I143" s="9" t="str"/>
      <x:c r="J143" s="9" t="str">
        <x:v>True</x:v>
      </x:c>
      <x:c r="K143" s="9" t="str"/>
      <x:c r="L143" t="str">
        <x:v>gemma4:e4b</x:v>
      </x:c>
    </x:row>
    <x:row r="144" ht="38" customHeight="1">
      <x:c r="A144" t="n">
        <x:v>849</x:v>
      </x:c>
      <x:c r="B144" t="str">
        <x:v>1.2.826.0.1.3680043.8.498.12448079646359892252441208258836556945</x:v>
      </x:c>
      <x:c r="C144" t="str">
        <x:v>Spanish</x:v>
      </x:c>
      <x:c r="D144" t="str">
        <x:v>Effusion</x:v>
      </x:c>
      <x:c r="E144" s="21" t="n">
        <x:v>0</x:v>
      </x:c>
      <x:c r="F144" s="21"/>
      <x:c r="G144" s="21" t="str">
        <x:f>IF(COUNT(F144)=0,"판정없음",IF(E144=F144,"일치",E144&amp;"→"&amp;F144))</x:f>
        <x:v>판정없음</x:v>
      </x:c>
      <x:c r="H144" t="str">
        <x:v>not_mentioned</x:v>
      </x:c>
      <x:c r="I144" s="9" t="str"/>
      <x:c r="J144" s="9" t="str">
        <x:v>True</x:v>
      </x:c>
      <x:c r="K144" s="9" t="str"/>
      <x:c r="L144" t="str">
        <x:v>gemma4:e4b</x:v>
      </x:c>
    </x:row>
    <x:row r="145" ht="38" customHeight="1">
      <x:c r="A145" t="n">
        <x:v>849</x:v>
      </x:c>
      <x:c r="B145" t="str">
        <x:v>1.2.826.0.1.3680043.8.498.12448079646359892252441208258836556945</x:v>
      </x:c>
      <x:c r="C145" t="str">
        <x:v>Spanish</x:v>
      </x:c>
      <x:c r="D145" t="str">
        <x:v>Fracture</x:v>
      </x:c>
      <x:c r="E145" s="21" t="n">
        <x:v>0</x:v>
      </x:c>
      <x:c r="F145" s="21"/>
      <x:c r="G145" s="21" t="str">
        <x:f>IF(COUNT(F145)=0,"판정없음",IF(E145=F145,"일치",E145&amp;"→"&amp;F145))</x:f>
        <x:v>판정없음</x:v>
      </x:c>
      <x:c r="H145" t="str">
        <x:v>not_mentioned</x:v>
      </x:c>
      <x:c r="I145" s="9" t="str"/>
      <x:c r="J145" s="9" t="str">
        <x:v>True</x:v>
      </x:c>
      <x:c r="K145" s="9" t="str"/>
      <x:c r="L145" t="str">
        <x:v>gemma4:e4b</x:v>
      </x:c>
    </x:row>
    <x:row r="146" ht="38" customHeight="1">
      <x:c r="A146" t="n">
        <x:v>849</x:v>
      </x:c>
      <x:c r="B146" t="str">
        <x:v>1.2.826.0.1.3680043.8.498.12448079646359892252441208258836556945</x:v>
      </x:c>
      <x:c r="C146" t="str">
        <x:v>Spanish</x:v>
      </x:c>
      <x:c r="D146" t="str">
        <x:v>Lateral Meniscus</x:v>
      </x:c>
      <x:c r="E146" s="21" t="n">
        <x:v>0</x:v>
      </x:c>
      <x:c r="F146" s="21"/>
      <x:c r="G146" s="21" t="str">
        <x:f>IF(COUNT(F146)=0,"판정없음",IF(E146=F146,"일치",E146&amp;"→"&amp;F146))</x:f>
        <x:v>판정없음</x:v>
      </x:c>
      <x:c r="H146" t="str">
        <x:v>not_mentioned</x:v>
      </x:c>
      <x:c r="I146" s="9" t="str"/>
      <x:c r="J146" s="9" t="str">
        <x:v>True</x:v>
      </x:c>
      <x:c r="K146" s="9" t="str"/>
      <x:c r="L146" t="str">
        <x:v>gemma4:e4b</x:v>
      </x:c>
    </x:row>
    <x:row r="147" ht="38" customHeight="1">
      <x:c r="A147" t="n">
        <x:v>849</x:v>
      </x:c>
      <x:c r="B147" t="str">
        <x:v>1.2.826.0.1.3680043.8.498.12448079646359892252441208258836556945</x:v>
      </x:c>
      <x:c r="C147" t="str">
        <x:v>Spanish</x:v>
      </x:c>
      <x:c r="D147" t="str">
        <x:v>Lateral OA</x:v>
      </x:c>
      <x:c r="E147" s="21" t="n">
        <x:v>0</x:v>
      </x:c>
      <x:c r="F147" s="21"/>
      <x:c r="G147" s="21" t="str">
        <x:f>IF(COUNT(F147)=0,"판정없음",IF(E147=F147,"일치",E147&amp;"→"&amp;F147))</x:f>
        <x:v>판정없음</x:v>
      </x:c>
      <x:c r="H147" t="str">
        <x:v>not_mentioned</x:v>
      </x:c>
      <x:c r="I147" s="9" t="str"/>
      <x:c r="J147" s="9" t="str">
        <x:v>True</x:v>
      </x:c>
      <x:c r="K147" s="9" t="str"/>
      <x:c r="L147" t="str">
        <x:v>gemma4:e4b</x:v>
      </x:c>
    </x:row>
    <x:row r="148" ht="38" customHeight="1">
      <x:c r="A148" t="n">
        <x:v>849</x:v>
      </x:c>
      <x:c r="B148" t="str">
        <x:v>1.2.826.0.1.3680043.8.498.12448079646359892252441208258836556945</x:v>
      </x:c>
      <x:c r="C148" t="str">
        <x:v>Spanish</x:v>
      </x:c>
      <x:c r="D148" t="str">
        <x:v>MCL</x:v>
      </x:c>
      <x:c r="E148" s="21" t="n">
        <x:v>0</x:v>
      </x:c>
      <x:c r="F148" s="21"/>
      <x:c r="G148" s="21" t="str">
        <x:f>IF(COUNT(F148)=0,"판정없음",IF(E148=F148,"일치",E148&amp;"→"&amp;F148))</x:f>
        <x:v>판정없음</x:v>
      </x:c>
      <x:c r="H148" t="str">
        <x:v>not_mentioned</x:v>
      </x:c>
      <x:c r="I148" s="9" t="str"/>
      <x:c r="J148" s="9" t="str">
        <x:v>True</x:v>
      </x:c>
      <x:c r="K148" s="9" t="str"/>
      <x:c r="L148" t="str">
        <x:v>gemma4:e4b</x:v>
      </x:c>
    </x:row>
    <x:row r="149" ht="38" customHeight="1">
      <x:c r="A149" t="n">
        <x:v>849</x:v>
      </x:c>
      <x:c r="B149" t="str">
        <x:v>1.2.826.0.1.3680043.8.498.12448079646359892252441208258836556945</x:v>
      </x:c>
      <x:c r="C149" t="str">
        <x:v>Spanish</x:v>
      </x:c>
      <x:c r="D149" t="str">
        <x:v>Medial Meniscus</x:v>
      </x:c>
      <x:c r="E149" s="21" t="n">
        <x:v>0</x:v>
      </x:c>
      <x:c r="F149" s="21"/>
      <x:c r="G149" s="21" t="str">
        <x:f>IF(COUNT(F149)=0,"판정없음",IF(E149=F149,"일치",E149&amp;"→"&amp;F149))</x:f>
        <x:v>판정없음</x:v>
      </x:c>
      <x:c r="H149" t="str">
        <x:v>not_mentioned</x:v>
      </x:c>
      <x:c r="I149" s="9" t="str"/>
      <x:c r="J149" s="9" t="str">
        <x:v>True</x:v>
      </x:c>
      <x:c r="K149" s="9" t="str"/>
      <x:c r="L149" t="str">
        <x:v>gemma4:e4b</x:v>
      </x:c>
    </x:row>
    <x:row r="150" ht="38" customHeight="1">
      <x:c r="A150" t="n">
        <x:v>849</x:v>
      </x:c>
      <x:c r="B150" t="str">
        <x:v>1.2.826.0.1.3680043.8.498.12448079646359892252441208258836556945</x:v>
      </x:c>
      <x:c r="C150" t="str">
        <x:v>Spanish</x:v>
      </x:c>
      <x:c r="D150" t="str">
        <x:v>Medial OA</x:v>
      </x:c>
      <x:c r="E150" s="21" t="n">
        <x:v>0</x:v>
      </x:c>
      <x:c r="F150" s="21"/>
      <x:c r="G150" s="21" t="str">
        <x:f>IF(COUNT(F150)=0,"판정없음",IF(E150=F150,"일치",E150&amp;"→"&amp;F150))</x:f>
        <x:v>판정없음</x:v>
      </x:c>
      <x:c r="H150" t="str">
        <x:v>not_mentioned</x:v>
      </x:c>
      <x:c r="I150" s="9" t="str"/>
      <x:c r="J150" s="9" t="str">
        <x:v>True</x:v>
      </x:c>
      <x:c r="K150" s="9" t="str"/>
      <x:c r="L150" t="str">
        <x:v>gemma4:e4b</x:v>
      </x:c>
    </x:row>
    <x:row r="151" ht="38" customHeight="1">
      <x:c r="A151" t="n">
        <x:v>849</x:v>
      </x:c>
      <x:c r="B151" t="str">
        <x:v>1.2.826.0.1.3680043.8.498.12448079646359892252441208258836556945</x:v>
      </x:c>
      <x:c r="C151" t="str">
        <x:v>Spanish</x:v>
      </x:c>
      <x:c r="D151" t="str">
        <x:v>PF OA</x:v>
      </x:c>
      <x:c r="E151" s="21" t="n">
        <x:v>1</x:v>
      </x:c>
      <x:c r="F151" s="21" t="n">
        <x:v>1</x:v>
      </x:c>
      <x:c r="G151" s="21" t="str">
        <x:f>IF(COUNT(F151)=0,"판정없음",IF(E151=F151,"일치",E151&amp;"→"&amp;F151))</x:f>
        <x:v>일치</x:v>
      </x:c>
      <x:c r="H151" t="str">
        <x:v>explicit_positive</x:v>
      </x:c>
      <x:c r="I151" s="9" t="str">
        <x:v>Condropatía rotuliana</x:v>
      </x:c>
      <x:c r="J151" s="9" t="str">
        <x:v>True</x:v>
      </x:c>
      <x:c r="K151" s="9" t="str">
        <x:v>patellofemoral</x:v>
      </x:c>
      <x:c r="L151" t="str">
        <x:v>gemma4:e4b</x:v>
      </x:c>
    </x:row>
    <x:row r="152" ht="38" customHeight="1">
      <x:c r="A152" t="n">
        <x:v>849</x:v>
      </x:c>
      <x:c r="B152" t="str">
        <x:v>1.2.826.0.1.3680043.8.498.12448079646359892252441208258836556945</x:v>
      </x:c>
      <x:c r="C152" t="str">
        <x:v>Spanish</x:v>
      </x:c>
      <x:c r="D152" t="str">
        <x:v>Synovitis</x:v>
      </x:c>
      <x:c r="E152" s="21" t="n">
        <x:v>1</x:v>
      </x:c>
      <x:c r="F152" s="21"/>
      <x:c r="G152" s="21" t="str">
        <x:f>IF(COUNT(F152)=0,"판정없음",IF(E152=F152,"일치",E152&amp;"→"&amp;F152))</x:f>
        <x:v>판정없음</x:v>
      </x:c>
      <x:c r="H152" t="str">
        <x:v>not_mentioned</x:v>
      </x:c>
      <x:c r="I152" s="9" t="str"/>
      <x:c r="J152" s="9" t="str">
        <x:v>True</x:v>
      </x:c>
      <x:c r="K152" s="9" t="str"/>
      <x:c r="L152" t="str">
        <x:v>gemma4:e4b</x:v>
      </x:c>
    </x:row>
    <x:row r="153" ht="38" customHeight="1">
      <x:c r="A153" t="n">
        <x:v>869</x:v>
      </x:c>
      <x:c r="B153" t="str">
        <x:v>1.2.826.0.1.3680043.8.498.12505035424093604269515328931488770819</x:v>
      </x:c>
      <x:c r="C153" t="str">
        <x:v>Spanish</x:v>
      </x:c>
      <x:c r="D153" t="str">
        <x:v>ACL</x:v>
      </x:c>
      <x:c r="E153" s="21" t="n">
        <x:v>1</x:v>
      </x:c>
      <x:c r="F153" s="21" t="n">
        <x:v>1</x:v>
      </x:c>
      <x:c r="G153" s="21" t="str">
        <x:f>IF(COUNT(F153)=0,"판정없음",IF(E153=F153,"일치",E153&amp;"→"&amp;F153))</x:f>
        <x:v>일치</x:v>
      </x:c>
      <x:c r="H153" t="str">
        <x:v>explicit_positive</x:v>
      </x:c>
      <x:c r="I153" s="9" t="str">
        <x:v>Rotura del LCA</x:v>
      </x:c>
      <x:c r="J153" s="9" t="str">
        <x:v>True</x:v>
      </x:c>
      <x:c r="K153" s="9" t="str">
        <x:v>anterior cruciate ligament injury</x:v>
      </x:c>
      <x:c r="L153" t="str">
        <x:v>gemma4:e4b</x:v>
      </x:c>
    </x:row>
    <x:row r="154" ht="38" customHeight="1">
      <x:c r="A154" t="n">
        <x:v>869</x:v>
      </x:c>
      <x:c r="B154" t="str">
        <x:v>1.2.826.0.1.3680043.8.498.12505035424093604269515328931488770819</x:v>
      </x:c>
      <x:c r="C154" t="str">
        <x:v>Spanish</x:v>
      </x:c>
      <x:c r="D154" t="str">
        <x:v>Baker's</x:v>
      </x:c>
      <x:c r="E154" s="21" t="n">
        <x:v>0</x:v>
      </x:c>
      <x:c r="F154" s="21"/>
      <x:c r="G154" s="21" t="str">
        <x:f>IF(COUNT(F154)=0,"판정없음",IF(E154=F154,"일치",E154&amp;"→"&amp;F154))</x:f>
        <x:v>판정없음</x:v>
      </x:c>
      <x:c r="H154" t="str">
        <x:v>not_mentioned</x:v>
      </x:c>
      <x:c r="I154" s="9" t="str"/>
      <x:c r="J154" s="9" t="str">
        <x:v>True</x:v>
      </x:c>
      <x:c r="K154" s="9" t="str"/>
      <x:c r="L154" t="str">
        <x:v>gemma4:e4b</x:v>
      </x:c>
    </x:row>
    <x:row r="155" ht="38" customHeight="1">
      <x:c r="A155" t="n">
        <x:v>869</x:v>
      </x:c>
      <x:c r="B155" t="str">
        <x:v>1.2.826.0.1.3680043.8.498.12505035424093604269515328931488770819</x:v>
      </x:c>
      <x:c r="C155" t="str">
        <x:v>Spanish</x:v>
      </x:c>
      <x:c r="D155" t="str">
        <x:v>Contusion</x:v>
      </x:c>
      <x:c r="E155" s="21" t="n">
        <x:v>0</x:v>
      </x:c>
      <x:c r="F155" s="21" t="n">
        <x:v>1</x:v>
      </x:c>
      <x:c r="G155" s="21" t="str">
        <x:f>IF(COUNT(F155)=0,"판정없음",IF(E155=F155,"일치",E155&amp;"→"&amp;F155))</x:f>
        <x:v>0→1</x:v>
      </x:c>
      <x:c r="H155" t="str">
        <x:v>explicit_positive</x:v>
      </x:c>
      <x:c r="I155" s="9" t="str">
        <x:v>Contusiones óseas femorotibiales</x:v>
      </x:c>
      <x:c r="J155" s="9" t="str">
        <x:v>True</x:v>
      </x:c>
      <x:c r="K155" s="9" t="str">
        <x:v>bone contusion / bone bruise</x:v>
      </x:c>
      <x:c r="L155" t="str">
        <x:v>gemma4:e4b</x:v>
      </x:c>
    </x:row>
    <x:row r="156" ht="38" customHeight="1">
      <x:c r="A156" t="n">
        <x:v>869</x:v>
      </x:c>
      <x:c r="B156" t="str">
        <x:v>1.2.826.0.1.3680043.8.498.12505035424093604269515328931488770819</x:v>
      </x:c>
      <x:c r="C156" t="str">
        <x:v>Spanish</x:v>
      </x:c>
      <x:c r="D156" t="str">
        <x:v>Effusion</x:v>
      </x:c>
      <x:c r="E156" s="21" t="n">
        <x:v>1</x:v>
      </x:c>
      <x:c r="F156" s="21" t="n">
        <x:v>1</x:v>
      </x:c>
      <x:c r="G156" s="21" t="str">
        <x:f>IF(COUNT(F156)=0,"판정없음",IF(E156=F156,"일치",E156&amp;"→"&amp;F156))</x:f>
        <x:v>일치</x:v>
      </x:c>
      <x:c r="H156" t="str">
        <x:v>explicit_positive</x:v>
      </x:c>
      <x:c r="I156" s="9" t="str">
        <x:v>Derrame</x:v>
      </x:c>
      <x:c r="J156" s="9" t="str">
        <x:v>True</x:v>
      </x:c>
      <x:c r="K156" s="9" t="str">
        <x:v>knee joint effusion or excess intra-articular fluid</x:v>
      </x:c>
      <x:c r="L156" t="str">
        <x:v>gemma4:e4b</x:v>
      </x:c>
    </x:row>
    <x:row r="157" ht="38" customHeight="1">
      <x:c r="A157" t="n">
        <x:v>869</x:v>
      </x:c>
      <x:c r="B157" t="str">
        <x:v>1.2.826.0.1.3680043.8.498.12505035424093604269515328931488770819</x:v>
      </x:c>
      <x:c r="C157" t="str">
        <x:v>Spanish</x:v>
      </x:c>
      <x:c r="D157" t="str">
        <x:v>Fracture</x:v>
      </x:c>
      <x:c r="E157" s="21" t="n">
        <x:v>1</x:v>
      </x:c>
      <x:c r="F157" s="21"/>
      <x:c r="G157" s="21" t="str">
        <x:f>IF(COUNT(F157)=0,"판정없음",IF(E157=F157,"일치",E157&amp;"→"&amp;F157))</x:f>
        <x:v>판정없음</x:v>
      </x:c>
      <x:c r="H157" t="str">
        <x:v>not_mentioned</x:v>
      </x:c>
      <x:c r="I157" s="9" t="str"/>
      <x:c r="J157" s="9" t="str">
        <x:v>True</x:v>
      </x:c>
      <x:c r="K157" s="9" t="str"/>
      <x:c r="L157" t="str">
        <x:v>gemma4:e4b</x:v>
      </x:c>
    </x:row>
    <x:row r="158" ht="38" customHeight="1">
      <x:c r="A158" t="n">
        <x:v>869</x:v>
      </x:c>
      <x:c r="B158" t="str">
        <x:v>1.2.826.0.1.3680043.8.498.12505035424093604269515328931488770819</x:v>
      </x:c>
      <x:c r="C158" t="str">
        <x:v>Spanish</x:v>
      </x:c>
      <x:c r="D158" t="str">
        <x:v>Lateral Meniscus</x:v>
      </x:c>
      <x:c r="E158" s="21" t="n">
        <x:v>1</x:v>
      </x:c>
      <x:c r="F158" s="21" t="n">
        <x:v>1</x:v>
      </x:c>
      <x:c r="G158" s="21" t="str">
        <x:f>IF(COUNT(F158)=0,"판정없음",IF(E158=F158,"일치",E158&amp;"→"&amp;F158))</x:f>
        <x:v>일치</x:v>
      </x:c>
      <x:c r="H158" t="str">
        <x:v>explicit_positive</x:v>
      </x:c>
      <x:c r="I158" s="9" t="str">
        <x:v>Rotura de menisco... y lateral</x:v>
      </x:c>
      <x:c r="J158" s="9" t="str">
        <x:v>False</x:v>
      </x:c>
      <x:c r="K158" s="9" t="str">
        <x:v>lateral meniscus tear</x:v>
      </x:c>
      <x:c r="L158" t="str">
        <x:v>gemma4:e4b</x:v>
      </x:c>
    </x:row>
    <x:row r="159" ht="38" customHeight="1">
      <x:c r="A159" t="n">
        <x:v>869</x:v>
      </x:c>
      <x:c r="B159" t="str">
        <x:v>1.2.826.0.1.3680043.8.498.12505035424093604269515328931488770819</x:v>
      </x:c>
      <x:c r="C159" t="str">
        <x:v>Spanish</x:v>
      </x:c>
      <x:c r="D159" t="str">
        <x:v>Lateral OA</x:v>
      </x:c>
      <x:c r="E159" s="21" t="n">
        <x:v>0</x:v>
      </x:c>
      <x:c r="F159" s="21"/>
      <x:c r="G159" s="21" t="str">
        <x:f>IF(COUNT(F159)=0,"판정없음",IF(E159=F159,"일치",E159&amp;"→"&amp;F159))</x:f>
        <x:v>판정없음</x:v>
      </x:c>
      <x:c r="H159" t="str">
        <x:v>not_mentioned</x:v>
      </x:c>
      <x:c r="I159" s="9" t="str"/>
      <x:c r="J159" s="9" t="str">
        <x:v>True</x:v>
      </x:c>
      <x:c r="K159" s="9" t="str"/>
      <x:c r="L159" t="str">
        <x:v>gemma4:e4b</x:v>
      </x:c>
    </x:row>
    <x:row r="160" ht="38" customHeight="1">
      <x:c r="A160" t="n">
        <x:v>869</x:v>
      </x:c>
      <x:c r="B160" t="str">
        <x:v>1.2.826.0.1.3680043.8.498.12505035424093604269515328931488770819</x:v>
      </x:c>
      <x:c r="C160" t="str">
        <x:v>Spanish</x:v>
      </x:c>
      <x:c r="D160" t="str">
        <x:v>MCL</x:v>
      </x:c>
      <x:c r="E160" s="21" t="n">
        <x:v>1</x:v>
      </x:c>
      <x:c r="F160" s="21" t="n">
        <x:v>1</x:v>
      </x:c>
      <x:c r="G160" s="21" t="str">
        <x:f>IF(COUNT(F160)=0,"판정없음",IF(E160=F160,"일치",E160&amp;"→"&amp;F160))</x:f>
        <x:v>일치</x:v>
      </x:c>
      <x:c r="H160" t="str">
        <x:v>explicit_positive</x:v>
      </x:c>
      <x:c r="I160" s="9" t="str">
        <x:v>Rotura parcial del LCM</x:v>
      </x:c>
      <x:c r="J160" s="9" t="str">
        <x:v>True</x:v>
      </x:c>
      <x:c r="K160" s="9" t="str">
        <x:v>medial collateral ligament injury</x:v>
      </x:c>
      <x:c r="L160" t="str">
        <x:v>gemma4:e4b</x:v>
      </x:c>
    </x:row>
    <x:row r="161" ht="38" customHeight="1">
      <x:c r="A161" t="n">
        <x:v>869</x:v>
      </x:c>
      <x:c r="B161" t="str">
        <x:v>1.2.826.0.1.3680043.8.498.12505035424093604269515328931488770819</x:v>
      </x:c>
      <x:c r="C161" t="str">
        <x:v>Spanish</x:v>
      </x:c>
      <x:c r="D161" t="str">
        <x:v>Medial Meniscus</x:v>
      </x:c>
      <x:c r="E161" s="21" t="n">
        <x:v>0</x:v>
      </x:c>
      <x:c r="F161" s="21" t="n">
        <x:v>1</x:v>
      </x:c>
      <x:c r="G161" s="21" t="str">
        <x:f>IF(COUNT(F161)=0,"판정없음",IF(E161=F161,"일치",E161&amp;"→"&amp;F161))</x:f>
        <x:v>0→1</x:v>
      </x:c>
      <x:c r="H161" t="str">
        <x:v>explicit_positive</x:v>
      </x:c>
      <x:c r="I161" s="9" t="str">
        <x:v>Rotura de menisco interno</x:v>
      </x:c>
      <x:c r="J161" s="9" t="str">
        <x:v>True</x:v>
      </x:c>
      <x:c r="K161" s="9" t="str">
        <x:v>medial meniscus tear</x:v>
      </x:c>
      <x:c r="L161" t="str">
        <x:v>gemma4:e4b</x:v>
      </x:c>
    </x:row>
    <x:row r="162" ht="38" customHeight="1">
      <x:c r="A162" t="n">
        <x:v>869</x:v>
      </x:c>
      <x:c r="B162" t="str">
        <x:v>1.2.826.0.1.3680043.8.498.12505035424093604269515328931488770819</x:v>
      </x:c>
      <x:c r="C162" t="str">
        <x:v>Spanish</x:v>
      </x:c>
      <x:c r="D162" t="str">
        <x:v>Medial OA</x:v>
      </x:c>
      <x:c r="E162" s="21" t="n">
        <x:v>0</x:v>
      </x:c>
      <x:c r="F162" s="21"/>
      <x:c r="G162" s="21" t="str">
        <x:f>IF(COUNT(F162)=0,"판정없음",IF(E162=F162,"일치",E162&amp;"→"&amp;F162))</x:f>
        <x:v>판정없음</x:v>
      </x:c>
      <x:c r="H162" t="str">
        <x:v>not_mentioned</x:v>
      </x:c>
      <x:c r="I162" s="9" t="str"/>
      <x:c r="J162" s="9" t="str">
        <x:v>True</x:v>
      </x:c>
      <x:c r="K162" s="9" t="str"/>
      <x:c r="L162" t="str">
        <x:v>gemma4:e4b</x:v>
      </x:c>
    </x:row>
    <x:row r="163" ht="38" customHeight="1">
      <x:c r="A163" t="n">
        <x:v>869</x:v>
      </x:c>
      <x:c r="B163" t="str">
        <x:v>1.2.826.0.1.3680043.8.498.12505035424093604269515328931488770819</x:v>
      </x:c>
      <x:c r="C163" t="str">
        <x:v>Spanish</x:v>
      </x:c>
      <x:c r="D163" t="str">
        <x:v>PF OA</x:v>
      </x:c>
      <x:c r="E163" s="21" t="n">
        <x:v>0</x:v>
      </x:c>
      <x:c r="F163" s="21"/>
      <x:c r="G163" s="21" t="str">
        <x:f>IF(COUNT(F163)=0,"판정없음",IF(E163=F163,"일치",E163&amp;"→"&amp;F163))</x:f>
        <x:v>판정없음</x:v>
      </x:c>
      <x:c r="H163" t="str">
        <x:v>not_mentioned</x:v>
      </x:c>
      <x:c r="I163" s="9" t="str"/>
      <x:c r="J163" s="9" t="str">
        <x:v>True</x:v>
      </x:c>
      <x:c r="K163" s="9" t="str"/>
      <x:c r="L163" t="str">
        <x:v>gemma4:e4b</x:v>
      </x:c>
    </x:row>
    <x:row r="164" ht="38" customHeight="1">
      <x:c r="A164" t="n">
        <x:v>869</x:v>
      </x:c>
      <x:c r="B164" t="str">
        <x:v>1.2.826.0.1.3680043.8.498.12505035424093604269515328931488770819</x:v>
      </x:c>
      <x:c r="C164" t="str">
        <x:v>Spanish</x:v>
      </x:c>
      <x:c r="D164" t="str">
        <x:v>Synovitis</x:v>
      </x:c>
      <x:c r="E164" s="21" t="n">
        <x:v>0</x:v>
      </x:c>
      <x:c r="F164" s="21"/>
      <x:c r="G164" s="21" t="str">
        <x:f>IF(COUNT(F164)=0,"판정없음",IF(E164=F164,"일치",E164&amp;"→"&amp;F164))</x:f>
        <x:v>판정없음</x:v>
      </x:c>
      <x:c r="H164" t="str">
        <x:v>not_mentioned</x:v>
      </x:c>
      <x:c r="I164" s="9" t="str"/>
      <x:c r="J164" s="9" t="str">
        <x:v>True</x:v>
      </x:c>
      <x:c r="K164" s="9" t="str"/>
      <x:c r="L164" t="str">
        <x:v>gemma4:e4b</x:v>
      </x:c>
    </x:row>
    <x:row r="165" ht="38" customHeight="1">
      <x:c r="A165" t="n">
        <x:v>906</x:v>
      </x:c>
      <x:c r="B165" t="str">
        <x:v>1.2.826.0.1.3680043.8.498.12606657226568558340797193167488111973</x:v>
      </x:c>
      <x:c r="C165" t="str">
        <x:v>English</x:v>
      </x:c>
      <x:c r="D165" t="str">
        <x:v>ACL</x:v>
      </x:c>
      <x:c r="E165" s="21" t="n">
        <x:v>1</x:v>
      </x:c>
      <x:c r="F165" s="21" t="n">
        <x:v>1</x:v>
      </x:c>
      <x:c r="G165" s="21" t="str">
        <x:f>IF(COUNT(F165)=0,"판정없음",IF(E165=F165,"일치",E165&amp;"→"&amp;F165))</x:f>
        <x:v>일치</x:v>
      </x:c>
      <x:c r="H165" t="str">
        <x:v>explicit_positive</x:v>
      </x:c>
      <x:c r="I165" s="9" t="str">
        <x:v>complete tear of the anterior cruciate ligament, at mid substance</x:v>
      </x:c>
      <x:c r="J165" s="9" t="str">
        <x:v>True</x:v>
      </x:c>
      <x:c r="K165" s="9" t="str">
        <x:v>intercondylar notch</x:v>
      </x:c>
      <x:c r="L165" t="str">
        <x:v>gemma4:e4b</x:v>
      </x:c>
    </x:row>
    <x:row r="166" ht="38" customHeight="1">
      <x:c r="A166" t="n">
        <x:v>906</x:v>
      </x:c>
      <x:c r="B166" t="str">
        <x:v>1.2.826.0.1.3680043.8.498.12606657226568558340797193167488111973</x:v>
      </x:c>
      <x:c r="C166" t="str">
        <x:v>English</x:v>
      </x:c>
      <x:c r="D166" t="str">
        <x:v>Baker's</x:v>
      </x:c>
      <x:c r="E166" s="21" t="n">
        <x:v>0</x:v>
      </x:c>
      <x:c r="F166" s="21"/>
      <x:c r="G166" s="21" t="str">
        <x:f>IF(COUNT(F166)=0,"판정없음",IF(E166=F166,"일치",E166&amp;"→"&amp;F166))</x:f>
        <x:v>판정없음</x:v>
      </x:c>
      <x:c r="H166" t="str">
        <x:v>not_mentioned</x:v>
      </x:c>
      <x:c r="I166" s="9" t="str"/>
      <x:c r="J166" s="9" t="str">
        <x:v>True</x:v>
      </x:c>
      <x:c r="K166" s="9" t="str"/>
      <x:c r="L166" t="str">
        <x:v>gemma4:e4b</x:v>
      </x:c>
    </x:row>
    <x:row r="167" ht="38" customHeight="1">
      <x:c r="A167" t="n">
        <x:v>906</x:v>
      </x:c>
      <x:c r="B167" t="str">
        <x:v>1.2.826.0.1.3680043.8.498.12606657226568558340797193167488111973</x:v>
      </x:c>
      <x:c r="C167" t="str">
        <x:v>English</x:v>
      </x:c>
      <x:c r="D167" t="str">
        <x:v>Contusion</x:v>
      </x:c>
      <x:c r="E167" s="21" t="n">
        <x:v>0</x:v>
      </x:c>
      <x:c r="F167" s="21" t="n">
        <x:v>0</x:v>
      </x:c>
      <x:c r="G167" s="21" t="str">
        <x:f>IF(COUNT(F167)=0,"판정없음",IF(E167=F167,"일치",E167&amp;"→"&amp;F167))</x:f>
        <x:v>일치</x:v>
      </x:c>
      <x:c r="H167" t="str">
        <x:v>explicit_negative</x:v>
      </x:c>
      <x:c r="I167" s="9" t="str">
        <x:v>no fracture or bone contusion</x:v>
      </x:c>
      <x:c r="J167" s="9" t="str">
        <x:v>True</x:v>
      </x:c>
      <x:c r="K167" s="9" t="str"/>
      <x:c r="L167" t="str">
        <x:v>gemma4:e4b</x:v>
      </x:c>
    </x:row>
    <x:row r="168" ht="38" customHeight="1">
      <x:c r="A168" t="n">
        <x:v>906</x:v>
      </x:c>
      <x:c r="B168" t="str">
        <x:v>1.2.826.0.1.3680043.8.498.12606657226568558340797193167488111973</x:v>
      </x:c>
      <x:c r="C168" t="str">
        <x:v>English</x:v>
      </x:c>
      <x:c r="D168" t="str">
        <x:v>Effusion</x:v>
      </x:c>
      <x:c r="E168" s="21" t="n">
        <x:v>0</x:v>
      </x:c>
      <x:c r="F168" s="21" t="n">
        <x:v>0</x:v>
      </x:c>
      <x:c r="G168" s="21" t="str">
        <x:f>IF(COUNT(F168)=0,"판정없음",IF(E168=F168,"일치",E168&amp;"→"&amp;F168))</x:f>
        <x:v>일치</x:v>
      </x:c>
      <x:c r="H168" t="str">
        <x:v>explicit_negative</x:v>
      </x:c>
      <x:c r="I168" s="9" t="str">
        <x:v>No knee effusion is present</x:v>
      </x:c>
      <x:c r="J168" s="9" t="str">
        <x:v>True</x:v>
      </x:c>
      <x:c r="K168" s="9" t="str"/>
      <x:c r="L168" t="str">
        <x:v>gemma4:e4b</x:v>
      </x:c>
    </x:row>
    <x:row r="169" ht="38" customHeight="1">
      <x:c r="A169" t="n">
        <x:v>906</x:v>
      </x:c>
      <x:c r="B169" t="str">
        <x:v>1.2.826.0.1.3680043.8.498.12606657226568558340797193167488111973</x:v>
      </x:c>
      <x:c r="C169" t="str">
        <x:v>English</x:v>
      </x:c>
      <x:c r="D169" t="str">
        <x:v>Fracture</x:v>
      </x:c>
      <x:c r="E169" s="21" t="n">
        <x:v>0</x:v>
      </x:c>
      <x:c r="F169" s="21" t="n">
        <x:v>0</x:v>
      </x:c>
      <x:c r="G169" s="21" t="str">
        <x:f>IF(COUNT(F169)=0,"판정없음",IF(E169=F169,"일치",E169&amp;"→"&amp;F169))</x:f>
        <x:v>일치</x:v>
      </x:c>
      <x:c r="H169" t="str">
        <x:v>explicit_negative</x:v>
      </x:c>
      <x:c r="I169" s="9" t="str">
        <x:v>no fracture or bone contusion</x:v>
      </x:c>
      <x:c r="J169" s="9" t="str">
        <x:v>True</x:v>
      </x:c>
      <x:c r="K169" s="9" t="str"/>
      <x:c r="L169" t="str">
        <x:v>gemma4:e4b</x:v>
      </x:c>
    </x:row>
    <x:row r="170" ht="38" customHeight="1">
      <x:c r="A170" t="n">
        <x:v>906</x:v>
      </x:c>
      <x:c r="B170" t="str">
        <x:v>1.2.826.0.1.3680043.8.498.12606657226568558340797193167488111973</x:v>
      </x:c>
      <x:c r="C170" t="str">
        <x:v>English</x:v>
      </x:c>
      <x:c r="D170" t="str">
        <x:v>Lateral Meniscus</x:v>
      </x:c>
      <x:c r="E170" s="21" t="n">
        <x:v>1</x:v>
      </x:c>
      <x:c r="F170" s="21" t="n">
        <x:v>1</x:v>
      </x:c>
      <x:c r="G170" s="21" t="str">
        <x:f>IF(COUNT(F170)=0,"판정없음",IF(E170=F170,"일치",E170&amp;"→"&amp;F170))</x:f>
        <x:v>일치</x:v>
      </x:c>
      <x:c r="H170" t="str">
        <x:v>explicit_positive</x:v>
      </x:c>
      <x:c r="I170" s="9" t="str">
        <x:v>longitudinal vertical oblique tear at the posterior horn of the lateral meniscus</x:v>
      </x:c>
      <x:c r="J170" s="9" t="str">
        <x:v>True</x:v>
      </x:c>
      <x:c r="K170" s="9" t="str">
        <x:v>lateral compartment</x:v>
      </x:c>
      <x:c r="L170" t="str">
        <x:v>gemma4:e4b</x:v>
      </x:c>
    </x:row>
    <x:row r="171" ht="38" customHeight="1">
      <x:c r="A171" t="n">
        <x:v>906</x:v>
      </x:c>
      <x:c r="B171" t="str">
        <x:v>1.2.826.0.1.3680043.8.498.12606657226568558340797193167488111973</x:v>
      </x:c>
      <x:c r="C171" t="str">
        <x:v>English</x:v>
      </x:c>
      <x:c r="D171" t="str">
        <x:v>Lateral OA</x:v>
      </x:c>
      <x:c r="E171" s="21" t="n">
        <x:v>0</x:v>
      </x:c>
      <x:c r="F171" s="21"/>
      <x:c r="G171" s="21" t="str">
        <x:f>IF(COUNT(F171)=0,"판정없음",IF(E171=F171,"일치",E171&amp;"→"&amp;F171))</x:f>
        <x:v>판정없음</x:v>
      </x:c>
      <x:c r="H171" t="str">
        <x:v>not_mentioned</x:v>
      </x:c>
      <x:c r="I171" s="9" t="str"/>
      <x:c r="J171" s="9" t="str">
        <x:v>True</x:v>
      </x:c>
      <x:c r="K171" s="9" t="str">
        <x:v>lateral compartment</x:v>
      </x:c>
      <x:c r="L171" t="str">
        <x:v>gemma4:e4b</x:v>
      </x:c>
    </x:row>
    <x:row r="172" ht="38" customHeight="1">
      <x:c r="A172" t="n">
        <x:v>906</x:v>
      </x:c>
      <x:c r="B172" t="str">
        <x:v>1.2.826.0.1.3680043.8.498.12606657226568558340797193167488111973</x:v>
      </x:c>
      <x:c r="C172" t="str">
        <x:v>English</x:v>
      </x:c>
      <x:c r="D172" t="str">
        <x:v>MCL</x:v>
      </x:c>
      <x:c r="E172" s="21" t="n">
        <x:v>1</x:v>
      </x:c>
      <x:c r="F172" s="21" t="n">
        <x:v>1</x:v>
      </x:c>
      <x:c r="G172" s="21" t="str">
        <x:f>IF(COUNT(F172)=0,"판정없음",IF(E172=F172,"일치",E172&amp;"→"&amp;F172))</x:f>
        <x:v>일치</x:v>
      </x:c>
      <x:c r="H172" t="str">
        <x:v>explicit_positive</x:v>
      </x:c>
      <x:c r="I172" s="9" t="str">
        <x:v>Grade II ligamentous sprain (partial tear) of the medial collateral ligament</x:v>
      </x:c>
      <x:c r="J172" s="9" t="str">
        <x:v>True</x:v>
      </x:c>
      <x:c r="K172" s="9" t="str">
        <x:v>medial collateral ligament</x:v>
      </x:c>
      <x:c r="L172" t="str">
        <x:v>gemma4:e4b</x:v>
      </x:c>
    </x:row>
    <x:row r="173" ht="38" customHeight="1">
      <x:c r="A173" t="n">
        <x:v>906</x:v>
      </x:c>
      <x:c r="B173" t="str">
        <x:v>1.2.826.0.1.3680043.8.498.12606657226568558340797193167488111973</x:v>
      </x:c>
      <x:c r="C173" t="str">
        <x:v>English</x:v>
      </x:c>
      <x:c r="D173" t="str">
        <x:v>Medial Meniscus</x:v>
      </x:c>
      <x:c r="E173" s="21" t="n">
        <x:v>0</x:v>
      </x:c>
      <x:c r="F173" s="21" t="n">
        <x:v>0</x:v>
      </x:c>
      <x:c r="G173" s="21" t="str">
        <x:f>IF(COUNT(F173)=0,"판정없음",IF(E173=F173,"일치",E173&amp;"→"&amp;F173))</x:f>
        <x:v>일치</x:v>
      </x:c>
      <x:c r="H173" t="str">
        <x:v>explicit_negative</x:v>
      </x:c>
      <x:c r="I173" s="9" t="str">
        <x:v>the meniscus is not torn</x:v>
      </x:c>
      <x:c r="J173" s="9" t="str">
        <x:v>True</x:v>
      </x:c>
      <x:c r="K173" s="9" t="str">
        <x:v>medial compartment</x:v>
      </x:c>
      <x:c r="L173" t="str">
        <x:v>gemma4:e4b</x:v>
      </x:c>
    </x:row>
    <x:row r="174" ht="38" customHeight="1">
      <x:c r="A174" t="n">
        <x:v>906</x:v>
      </x:c>
      <x:c r="B174" t="str">
        <x:v>1.2.826.0.1.3680043.8.498.12606657226568558340797193167488111973</x:v>
      </x:c>
      <x:c r="C174" t="str">
        <x:v>English</x:v>
      </x:c>
      <x:c r="D174" t="str">
        <x:v>Medial OA</x:v>
      </x:c>
      <x:c r="E174" s="21" t="n">
        <x:v>0</x:v>
      </x:c>
      <x:c r="F174" s="21"/>
      <x:c r="G174" s="21" t="str">
        <x:f>IF(COUNT(F174)=0,"판정없음",IF(E174=F174,"일치",E174&amp;"→"&amp;F174))</x:f>
        <x:v>판정없음</x:v>
      </x:c>
      <x:c r="H174" t="str">
        <x:v>not_mentioned</x:v>
      </x:c>
      <x:c r="I174" s="9" t="str"/>
      <x:c r="J174" s="9" t="str">
        <x:v>True</x:v>
      </x:c>
      <x:c r="K174" s="9" t="str">
        <x:v>medial compartment</x:v>
      </x:c>
      <x:c r="L174" t="str">
        <x:v>gemma4:e4b</x:v>
      </x:c>
    </x:row>
    <x:row r="175" ht="38" customHeight="1">
      <x:c r="A175" t="n">
        <x:v>906</x:v>
      </x:c>
      <x:c r="B175" t="str">
        <x:v>1.2.826.0.1.3680043.8.498.12606657226568558340797193167488111973</x:v>
      </x:c>
      <x:c r="C175" t="str">
        <x:v>English</x:v>
      </x:c>
      <x:c r="D175" t="str">
        <x:v>PF OA</x:v>
      </x:c>
      <x:c r="E175" s="21" t="n">
        <x:v>0</x:v>
      </x:c>
      <x:c r="F175" s="21" t="n">
        <x:v>0</x:v>
      </x:c>
      <x:c r="G175" s="21" t="str">
        <x:f>IF(COUNT(F175)=0,"판정없음",IF(E175=F175,"일치",E175&amp;"→"&amp;F175))</x:f>
        <x:v>일치</x:v>
      </x:c>
      <x:c r="H175" t="str">
        <x:v>explicit_negative</x:v>
      </x:c>
      <x:c r="I175" s="9" t="str">
        <x:v>the patellar and trochlear cartilage appears congruent without chondral lesion</x:v>
      </x:c>
      <x:c r="J175" s="9" t="str">
        <x:v>True</x:v>
      </x:c>
      <x:c r="K175" s="9" t="str">
        <x:v>patellofemoral joint</x:v>
      </x:c>
      <x:c r="L175" t="str">
        <x:v>gemma4:e4b</x:v>
      </x:c>
    </x:row>
    <x:row r="176" ht="38" customHeight="1">
      <x:c r="A176" t="n">
        <x:v>906</x:v>
      </x:c>
      <x:c r="B176" t="str">
        <x:v>1.2.826.0.1.3680043.8.498.12606657226568558340797193167488111973</x:v>
      </x:c>
      <x:c r="C176" t="str">
        <x:v>English</x:v>
      </x:c>
      <x:c r="D176" t="str">
        <x:v>Synovitis</x:v>
      </x:c>
      <x:c r="E176" s="21" t="n">
        <x:v>0</x:v>
      </x:c>
      <x:c r="F176" s="21"/>
      <x:c r="G176" s="21" t="str">
        <x:f>IF(COUNT(F176)=0,"판정없음",IF(E176=F176,"일치",E176&amp;"→"&amp;F176))</x:f>
        <x:v>판정없음</x:v>
      </x:c>
      <x:c r="H176" t="str">
        <x:v>not_mentioned</x:v>
      </x:c>
      <x:c r="I176" s="9" t="str"/>
      <x:c r="J176" s="9" t="str">
        <x:v>True</x:v>
      </x:c>
      <x:c r="K176" s="9" t="str"/>
      <x:c r="L176" t="str">
        <x:v>gemma4:e4b</x:v>
      </x:c>
    </x:row>
    <x:row r="177" ht="38" customHeight="1">
      <x:c r="A177" t="n">
        <x:v>981</x:v>
      </x:c>
      <x:c r="B177" t="str">
        <x:v>1.2.826.0.1.3680043.8.498.12801308844398614687904447633432197492</x:v>
      </x:c>
      <x:c r="C177" t="str">
        <x:v>Greek</x:v>
      </x:c>
      <x:c r="D177" t="str">
        <x:v>ACL</x:v>
      </x:c>
      <x:c r="E177" s="21" t="n">
        <x:v>0</x:v>
      </x:c>
      <x:c r="F177" s="21"/>
      <x:c r="G177" s="21" t="str">
        <x:f>IF(COUNT(F177)=0,"판정없음",IF(E177=F177,"일치",E177&amp;"→"&amp;F177))</x:f>
        <x:v>판정없음</x:v>
      </x:c>
      <x:c r="H177" t="str">
        <x:v>not_mentioned</x:v>
      </x:c>
      <x:c r="I177" s="9" t="str"/>
      <x:c r="J177" s="9" t="str">
        <x:v>True</x:v>
      </x:c>
      <x:c r="K177" s="9" t="str"/>
      <x:c r="L177" t="str">
        <x:v>gemma4:e4b</x:v>
      </x:c>
    </x:row>
    <x:row r="178" ht="38" customHeight="1">
      <x:c r="A178" t="n">
        <x:v>981</x:v>
      </x:c>
      <x:c r="B178" t="str">
        <x:v>1.2.826.0.1.3680043.8.498.12801308844398614687904447633432197492</x:v>
      </x:c>
      <x:c r="C178" t="str">
        <x:v>Greek</x:v>
      </x:c>
      <x:c r="D178" t="str">
        <x:v>Baker's</x:v>
      </x:c>
      <x:c r="E178" s="21" t="n">
        <x:v>1</x:v>
      </x:c>
      <x:c r="F178" s="21" t="n">
        <x:v>1</x:v>
      </x:c>
      <x:c r="G178" s="21" t="str">
        <x:f>IF(COUNT(F178)=0,"판정없음",IF(E178=F178,"일치",E178&amp;"→"&amp;F178))</x:f>
        <x:v>일치</x:v>
      </x:c>
      <x:c r="H178" t="str">
        <x:v>explicit_positive</x:v>
      </x:c>
      <x:c r="I178" s="9" t="str">
        <x:v>ευµεγέθη πολύχωρη συνοβιακή κύστη Baker</x:v>
      </x:c>
      <x:c r="J178" s="9" t="str">
        <x:v>True</x:v>
      </x:c>
      <x:c r="K178" s="9" t="str"/>
      <x:c r="L178" t="str">
        <x:v>gemma4:e4b</x:v>
      </x:c>
    </x:row>
    <x:row r="179" ht="38" customHeight="1">
      <x:c r="A179" t="n">
        <x:v>981</x:v>
      </x:c>
      <x:c r="B179" t="str">
        <x:v>1.2.826.0.1.3680043.8.498.12801308844398614687904447633432197492</x:v>
      </x:c>
      <x:c r="C179" t="str">
        <x:v>Greek</x:v>
      </x:c>
      <x:c r="D179" t="str">
        <x:v>Contusion</x:v>
      </x:c>
      <x:c r="E179" s="21" t="n">
        <x:v>1</x:v>
      </x:c>
      <x:c r="F179" s="21"/>
      <x:c r="G179" s="21" t="str">
        <x:f>IF(COUNT(F179)=0,"판정없음",IF(E179=F179,"일치",E179&amp;"→"&amp;F179))</x:f>
        <x:v>판정없음</x:v>
      </x:c>
      <x:c r="H179" t="str">
        <x:v>not_mentioned</x:v>
      </x:c>
      <x:c r="I179" s="9" t="str"/>
      <x:c r="J179" s="9" t="str">
        <x:v>True</x:v>
      </x:c>
      <x:c r="K179" s="9" t="str"/>
      <x:c r="L179" t="str">
        <x:v>gemma4:e4b</x:v>
      </x:c>
    </x:row>
    <x:row r="180" ht="38" customHeight="1">
      <x:c r="A180" t="n">
        <x:v>981</x:v>
      </x:c>
      <x:c r="B180" t="str">
        <x:v>1.2.826.0.1.3680043.8.498.12801308844398614687904447633432197492</x:v>
      </x:c>
      <x:c r="C180" t="str">
        <x:v>Greek</x:v>
      </x:c>
      <x:c r="D180" t="str">
        <x:v>Effusion</x:v>
      </x:c>
      <x:c r="E180" s="21" t="n">
        <x:v>1</x:v>
      </x:c>
      <x:c r="F180" s="21" t="n">
        <x:v>1</x:v>
      </x:c>
      <x:c r="G180" s="21" t="str">
        <x:f>IF(COUNT(F180)=0,"판정없음",IF(E180=F180,"일치",E180&amp;"→"&amp;F180))</x:f>
        <x:v>일치</x:v>
      </x:c>
      <x:c r="H180" t="str">
        <x:v>explicit_positive</x:v>
      </x:c>
      <x:c r="I180" s="9" t="str">
        <x:v>Παρατηρείται µέτρια ποσότητα υγρού ενδαρθρικά</x:v>
      </x:c>
      <x:c r="J180" s="9" t="str">
        <x:v>True</x:v>
      </x:c>
      <x:c r="K180" s="9" t="str"/>
      <x:c r="L180" t="str">
        <x:v>gemma4:e4b</x:v>
      </x:c>
    </x:row>
    <x:row r="181" ht="38" customHeight="1">
      <x:c r="A181" t="n">
        <x:v>981</x:v>
      </x:c>
      <x:c r="B181" t="str">
        <x:v>1.2.826.0.1.3680043.8.498.12801308844398614687904447633432197492</x:v>
      </x:c>
      <x:c r="C181" t="str">
        <x:v>Greek</x:v>
      </x:c>
      <x:c r="D181" t="str">
        <x:v>Fracture</x:v>
      </x:c>
      <x:c r="E181" s="21" t="n">
        <x:v>0</x:v>
      </x:c>
      <x:c r="F181" s="21"/>
      <x:c r="G181" s="21" t="str">
        <x:f>IF(COUNT(F181)=0,"판정없음",IF(E181=F181,"일치",E181&amp;"→"&amp;F181))</x:f>
        <x:v>판정없음</x:v>
      </x:c>
      <x:c r="H181" t="str">
        <x:v>not_mentioned</x:v>
      </x:c>
      <x:c r="I181" s="9" t="str"/>
      <x:c r="J181" s="9" t="str">
        <x:v>True</x:v>
      </x:c>
      <x:c r="K181" s="9" t="str"/>
      <x:c r="L181" t="str">
        <x:v>gemma4:e4b</x:v>
      </x:c>
    </x:row>
    <x:row r="182" ht="38" customHeight="1">
      <x:c r="A182" t="n">
        <x:v>981</x:v>
      </x:c>
      <x:c r="B182" t="str">
        <x:v>1.2.826.0.1.3680043.8.498.12801308844398614687904447633432197492</x:v>
      </x:c>
      <x:c r="C182" t="str">
        <x:v>Greek</x:v>
      </x:c>
      <x:c r="D182" t="str">
        <x:v>Lateral Meniscus</x:v>
      </x:c>
      <x:c r="E182" s="21" t="n">
        <x:v>1</x:v>
      </x:c>
      <x:c r="F182" s="21"/>
      <x:c r="G182" s="21" t="str">
        <x:f>IF(COUNT(F182)=0,"판정없음",IF(E182=F182,"일치",E182&amp;"→"&amp;F182))</x:f>
        <x:v>판정없음</x:v>
      </x:c>
      <x:c r="H182" t="str">
        <x:v>not_mentioned</x:v>
      </x:c>
      <x:c r="I182" s="9" t="str"/>
      <x:c r="J182" s="9" t="str">
        <x:v>True</x:v>
      </x:c>
      <x:c r="K182" s="9" t="str"/>
      <x:c r="L182" t="str">
        <x:v>gemma4:e4b</x:v>
      </x:c>
    </x:row>
    <x:row r="183" ht="38" customHeight="1">
      <x:c r="A183" t="n">
        <x:v>981</x:v>
      </x:c>
      <x:c r="B183" t="str">
        <x:v>1.2.826.0.1.3680043.8.498.12801308844398614687904447633432197492</x:v>
      </x:c>
      <x:c r="C183" t="str">
        <x:v>Greek</x:v>
      </x:c>
      <x:c r="D183" t="str">
        <x:v>Lateral OA</x:v>
      </x:c>
      <x:c r="E183" s="21" t="n">
        <x:v>0</x:v>
      </x:c>
      <x:c r="F183" s="21"/>
      <x:c r="G183" s="21" t="str">
        <x:f>IF(COUNT(F183)=0,"판정없음",IF(E183=F183,"일치",E183&amp;"→"&amp;F183))</x:f>
        <x:v>판정없음</x:v>
      </x:c>
      <x:c r="H183" t="str">
        <x:v>not_mentioned</x:v>
      </x:c>
      <x:c r="I183" s="9" t="str"/>
      <x:c r="J183" s="9" t="str">
        <x:v>True</x:v>
      </x:c>
      <x:c r="K183" s="9" t="str"/>
      <x:c r="L183" t="str">
        <x:v>gemma4:e4b</x:v>
      </x:c>
    </x:row>
    <x:row r="184" ht="38" customHeight="1">
      <x:c r="A184" t="n">
        <x:v>981</x:v>
      </x:c>
      <x:c r="B184" t="str">
        <x:v>1.2.826.0.1.3680043.8.498.12801308844398614687904447633432197492</x:v>
      </x:c>
      <x:c r="C184" t="str">
        <x:v>Greek</x:v>
      </x:c>
      <x:c r="D184" t="str">
        <x:v>MCL</x:v>
      </x:c>
      <x:c r="E184" s="21" t="n">
        <x:v>0</x:v>
      </x:c>
      <x:c r="F184" s="21"/>
      <x:c r="G184" s="21" t="str">
        <x:f>IF(COUNT(F184)=0,"판정없음",IF(E184=F184,"일치",E184&amp;"→"&amp;F184))</x:f>
        <x:v>판정없음</x:v>
      </x:c>
      <x:c r="H184" t="str">
        <x:v>uncertain_or_indirect</x:v>
      </x:c>
      <x:c r="I184" s="9" t="str">
        <x:v>εκφυλιστική ρήξη στο οπίσθιο κέρας και σώµα του µηνίσκου</x:v>
      </x:c>
      <x:c r="J184" s="9" t="str">
        <x:v>True</x:v>
      </x:c>
      <x:c r="K184" s="9" t="str">
        <x:v>medial meniscus tear</x:v>
      </x:c>
      <x:c r="L184" t="str">
        <x:v>gemma4:e4b</x:v>
      </x:c>
    </x:row>
    <x:row r="185" ht="38" customHeight="1">
      <x:c r="A185" t="n">
        <x:v>981</x:v>
      </x:c>
      <x:c r="B185" t="str">
        <x:v>1.2.826.0.1.3680043.8.498.12801308844398614687904447633432197492</x:v>
      </x:c>
      <x:c r="C185" t="str">
        <x:v>Greek</x:v>
      </x:c>
      <x:c r="D185" t="str">
        <x:v>Medial Meniscus</x:v>
      </x:c>
      <x:c r="E185" s="21" t="n">
        <x:v>1</x:v>
      </x:c>
      <x:c r="F185" s="21" t="n">
        <x:v>1</x:v>
      </x:c>
      <x:c r="G185" s="21" t="str">
        <x:f>IF(COUNT(F185)=0,"판정없음",IF(E185=F185,"일치",E185&amp;"→"&amp;F185))</x:f>
        <x:v>일치</x:v>
      </x:c>
      <x:c r="H185" t="str">
        <x:v>explicit_positive</x:v>
      </x:c>
      <x:c r="I185" s="9" t="str">
        <x:v>εκφυλιστική ρήξη στο οπίσθιο κέρας και σώµα του µηνίσκου</x:v>
      </x:c>
      <x:c r="J185" s="9" t="str">
        <x:v>True</x:v>
      </x:c>
      <x:c r="K185" s="9" t="str">
        <x:v>medial meniscus tear</x:v>
      </x:c>
      <x:c r="L185" t="str">
        <x:v>gemma4:e4b</x:v>
      </x:c>
    </x:row>
    <x:row r="186" ht="38" customHeight="1">
      <x:c r="A186" t="n">
        <x:v>981</x:v>
      </x:c>
      <x:c r="B186" t="str">
        <x:v>1.2.826.0.1.3680043.8.498.12801308844398614687904447633432197492</x:v>
      </x:c>
      <x:c r="C186" t="str">
        <x:v>Greek</x:v>
      </x:c>
      <x:c r="D186" t="str">
        <x:v>Medial OA</x:v>
      </x:c>
      <x:c r="E186" s="21" t="n">
        <x:v>1</x:v>
      </x:c>
      <x:c r="F186" s="21" t="n">
        <x:v>1</x:v>
      </x:c>
      <x:c r="G186" s="21" t="str">
        <x:f>IF(COUNT(F186)=0,"판정없음",IF(E186=F186,"일치",E186&amp;"→"&amp;F186))</x:f>
        <x:v>일치</x:v>
      </x:c>
      <x:c r="H186" t="str">
        <x:v>explicit_positive</x:v>
      </x:c>
      <x:c r="I186" s="9" t="str">
        <x:v>εκφυλιστική οστεοαρθρίτιδα</x:v>
      </x:c>
      <x:c r="J186" s="9" t="str">
        <x:v>True</x:v>
      </x:c>
      <x:c r="K186" s="9" t="str">
        <x:v>medial tibiofemoral compartment</x:v>
      </x:c>
      <x:c r="L186" t="str">
        <x:v>gemma4:e4b</x:v>
      </x:c>
    </x:row>
    <x:row r="187" ht="38" customHeight="1">
      <x:c r="A187" t="n">
        <x:v>981</x:v>
      </x:c>
      <x:c r="B187" t="str">
        <x:v>1.2.826.0.1.3680043.8.498.12801308844398614687904447633432197492</x:v>
      </x:c>
      <x:c r="C187" t="str">
        <x:v>Greek</x:v>
      </x:c>
      <x:c r="D187" t="str">
        <x:v>PF OA</x:v>
      </x:c>
      <x:c r="E187" s="21" t="n">
        <x:v>0</x:v>
      </x:c>
      <x:c r="F187" s="21"/>
      <x:c r="G187" s="21" t="str">
        <x:f>IF(COUNT(F187)=0,"판정없음",IF(E187=F187,"일치",E187&amp;"→"&amp;F187))</x:f>
        <x:v>판정없음</x:v>
      </x:c>
      <x:c r="H187" t="str">
        <x:v>not_mentioned</x:v>
      </x:c>
      <x:c r="I187" s="9" t="str"/>
      <x:c r="J187" s="9" t="str">
        <x:v>True</x:v>
      </x:c>
      <x:c r="K187" s="9" t="str"/>
      <x:c r="L187" t="str">
        <x:v>gemma4:e4b</x:v>
      </x:c>
    </x:row>
    <x:row r="188" ht="38" customHeight="1">
      <x:c r="A188" t="n">
        <x:v>981</x:v>
      </x:c>
      <x:c r="B188" t="str">
        <x:v>1.2.826.0.1.3680043.8.498.12801308844398614687904447633432197492</x:v>
      </x:c>
      <x:c r="C188" t="str">
        <x:v>Greek</x:v>
      </x:c>
      <x:c r="D188" t="str">
        <x:v>Synovitis</x:v>
      </x:c>
      <x:c r="E188" s="21" t="n">
        <x:v>1</x:v>
      </x:c>
      <x:c r="F188" s="21"/>
      <x:c r="G188" s="21" t="str">
        <x:f>IF(COUNT(F188)=0,"판정없음",IF(E188=F188,"일치",E188&amp;"→"&amp;F188))</x:f>
        <x:v>판정없음</x:v>
      </x:c>
      <x:c r="H188" t="str">
        <x:v>not_mentioned</x:v>
      </x:c>
      <x:c r="I188" s="9" t="str"/>
      <x:c r="J188" s="9" t="str">
        <x:v>True</x:v>
      </x:c>
      <x:c r="K188" s="9" t="str"/>
      <x:c r="L188" t="str">
        <x:v>gemma4:e4b</x:v>
      </x:c>
    </x:row>
    <x:row r="189" ht="38" customHeight="1">
      <x:c r="A189" t="n">
        <x:v>1027</x:v>
      </x:c>
      <x:c r="B189" t="str">
        <x:v>1.2.826.0.1.3680043.8.498.12978510157202852202776899910529174803</x:v>
      </x:c>
      <x:c r="C189" t="str">
        <x:v>Bulgarian</x:v>
      </x:c>
      <x:c r="D189" t="str">
        <x:v>ACL</x:v>
      </x:c>
      <x:c r="E189" s="21" t="n">
        <x:v>0</x:v>
      </x:c>
      <x:c r="F189" s="21" t="n">
        <x:v>0</x:v>
      </x:c>
      <x:c r="G189" s="21" t="str">
        <x:f>IF(COUNT(F189)=0,"판정없음",IF(E189=F189,"일치",E189&amp;"→"&amp;F189))</x:f>
        <x:v>일치</x:v>
      </x:c>
      <x:c r="H189" t="str">
        <x:v>explicit_negative</x:v>
      </x:c>
      <x:c r="I189" s="9" t="str">
        <x:v>Кръстните връзки са със запазена цялост.</x:v>
      </x:c>
      <x:c r="J189" s="9" t="str">
        <x:v>True</x:v>
      </x:c>
      <x:c r="K189" s="9" t="str"/>
      <x:c r="L189" t="str">
        <x:v>gemma4:e4b</x:v>
      </x:c>
    </x:row>
    <x:row r="190" ht="38" customHeight="1">
      <x:c r="A190" t="n">
        <x:v>1027</x:v>
      </x:c>
      <x:c r="B190" t="str">
        <x:v>1.2.826.0.1.3680043.8.498.12978510157202852202776899910529174803</x:v>
      </x:c>
      <x:c r="C190" t="str">
        <x:v>Bulgarian</x:v>
      </x:c>
      <x:c r="D190" t="str">
        <x:v>Baker's</x:v>
      </x:c>
      <x:c r="E190" s="21" t="n">
        <x:v>0</x:v>
      </x:c>
      <x:c r="F190" s="21"/>
      <x:c r="G190" s="21" t="str">
        <x:f>IF(COUNT(F190)=0,"판정없음",IF(E190=F190,"일치",E190&amp;"→"&amp;F190))</x:f>
        <x:v>판정없음</x:v>
      </x:c>
      <x:c r="H190" t="str">
        <x:v>not_mentioned</x:v>
      </x:c>
      <x:c r="I190" s="9" t="str"/>
      <x:c r="J190" s="9" t="str">
        <x:v>True</x:v>
      </x:c>
      <x:c r="K190" s="9" t="str"/>
      <x:c r="L190" t="str">
        <x:v>gemma4:e4b</x:v>
      </x:c>
    </x:row>
    <x:row r="191" ht="38" customHeight="1">
      <x:c r="A191" t="n">
        <x:v>1027</x:v>
      </x:c>
      <x:c r="B191" t="str">
        <x:v>1.2.826.0.1.3680043.8.498.12978510157202852202776899910529174803</x:v>
      </x:c>
      <x:c r="C191" t="str">
        <x:v>Bulgarian</x:v>
      </x:c>
      <x:c r="D191" t="str">
        <x:v>Contusion</x:v>
      </x:c>
      <x:c r="E191" s="21" t="n">
        <x:v>0</x:v>
      </x:c>
      <x:c r="F191" s="21" t="n">
        <x:v>1</x:v>
      </x:c>
      <x:c r="G191" s="21" t="str">
        <x:f>IF(COUNT(F191)=0,"판정없음",IF(E191=F191,"일치",E191&amp;"→"&amp;F191))</x:f>
        <x:v>0→1</x:v>
      </x:c>
      <x:c r="H191" t="str">
        <x:v>explicit_positive</x:v>
      </x:c>
      <x:c r="I191" s="9" t="str">
        <x:v>Визуализира се контузионен костномозъчен едем в тибията срединно и към медиалното тибиално плато.</x:v>
      </x:c>
      <x:c r="J191" s="9" t="str">
        <x:v>True</x:v>
      </x:c>
      <x:c r="K191" s="9" t="str">
        <x:v>bone contusion</x:v>
      </x:c>
      <x:c r="L191" t="str">
        <x:v>gemma4:e4b</x:v>
      </x:c>
    </x:row>
    <x:row r="192" ht="38" customHeight="1">
      <x:c r="A192" t="n">
        <x:v>1027</x:v>
      </x:c>
      <x:c r="B192" t="str">
        <x:v>1.2.826.0.1.3680043.8.498.12978510157202852202776899910529174803</x:v>
      </x:c>
      <x:c r="C192" t="str">
        <x:v>Bulgarian</x:v>
      </x:c>
      <x:c r="D192" t="str">
        <x:v>Effusion</x:v>
      </x:c>
      <x:c r="E192" s="21" t="n">
        <x:v>0</x:v>
      </x:c>
      <x:c r="F192" s="21" t="n">
        <x:v>1</x:v>
      </x:c>
      <x:c r="G192" s="21" t="str">
        <x:f>IF(COUNT(F192)=0,"판정없음",IF(E192=F192,"일치",E192&amp;"→"&amp;F192))</x:f>
        <x:v>0→1</x:v>
      </x:c>
      <x:c r="H192" t="str">
        <x:v>explicit_positive</x:v>
      </x:c>
      <x:c r="I192" s="9" t="str">
        <x:v>Наличие на минимален ставен излив.</x:v>
      </x:c>
      <x:c r="J192" s="9" t="str">
        <x:v>True</x:v>
      </x:c>
      <x:c r="K192" s="9" t="str">
        <x:v>minimal joint effusion</x:v>
      </x:c>
      <x:c r="L192" t="str">
        <x:v>gemma4:e4b</x:v>
      </x:c>
    </x:row>
    <x:row r="193" ht="38" customHeight="1">
      <x:c r="A193" t="n">
        <x:v>1027</x:v>
      </x:c>
      <x:c r="B193" t="str">
        <x:v>1.2.826.0.1.3680043.8.498.12978510157202852202776899910529174803</x:v>
      </x:c>
      <x:c r="C193" t="str">
        <x:v>Bulgarian</x:v>
      </x:c>
      <x:c r="D193" t="str">
        <x:v>Fracture</x:v>
      </x:c>
      <x:c r="E193" s="21" t="n">
        <x:v>1</x:v>
      </x:c>
      <x:c r="F193" s="21" t="n">
        <x:v>1</x:v>
      </x:c>
      <x:c r="G193" s="21" t="str">
        <x:f>IF(COUNT(F193)=0,"판정없음",IF(E193=F193,"일치",E193&amp;"→"&amp;F193))</x:f>
        <x:v>일치</x:v>
      </x:c>
      <x:c r="H193" t="str">
        <x:v>explicit_positive</x:v>
      </x:c>
      <x:c r="I193" s="9" t="str">
        <x:v>МР данни за фрактура на тибията в областта на интеркондиларните еминенции.</x:v>
      </x:c>
      <x:c r="J193" s="9" t="str">
        <x:v>True</x:v>
      </x:c>
      <x:c r="K193" s="9" t="str">
        <x:v>tibial intercondylar eminence</x:v>
      </x:c>
      <x:c r="L193" t="str">
        <x:v>gemma4:e4b</x:v>
      </x:c>
    </x:row>
    <x:row r="194" ht="38" customHeight="1">
      <x:c r="A194" t="n">
        <x:v>1027</x:v>
      </x:c>
      <x:c r="B194" t="str">
        <x:v>1.2.826.0.1.3680043.8.498.12978510157202852202776899910529174803</x:v>
      </x:c>
      <x:c r="C194" t="str">
        <x:v>Bulgarian</x:v>
      </x:c>
      <x:c r="D194" t="str">
        <x:v>Lateral Meniscus</x:v>
      </x:c>
      <x:c r="E194" s="21" t="n">
        <x:v>0</x:v>
      </x:c>
      <x:c r="F194" s="21" t="n">
        <x:v>0</x:v>
      </x:c>
      <x:c r="G194" s="21" t="str">
        <x:f>IF(COUNT(F194)=0,"판정없음",IF(E194=F194,"일치",E194&amp;"→"&amp;F194))</x:f>
        <x:v>일치</x:v>
      </x:c>
      <x:c r="H194" t="str">
        <x:v>explicit_negative</x:v>
      </x:c>
      <x:c r="I194" s="9" t="str">
        <x:v>Нормално представени менискуси.</x:v>
      </x:c>
      <x:c r="J194" s="9" t="str">
        <x:v>True</x:v>
      </x:c>
      <x:c r="K194" s="9" t="str"/>
      <x:c r="L194" t="str">
        <x:v>gemma4:e4b</x:v>
      </x:c>
    </x:row>
    <x:row r="195" ht="38" customHeight="1">
      <x:c r="A195" t="n">
        <x:v>1027</x:v>
      </x:c>
      <x:c r="B195" t="str">
        <x:v>1.2.826.0.1.3680043.8.498.12978510157202852202776899910529174803</x:v>
      </x:c>
      <x:c r="C195" t="str">
        <x:v>Bulgarian</x:v>
      </x:c>
      <x:c r="D195" t="str">
        <x:v>Lateral OA</x:v>
      </x:c>
      <x:c r="E195" s="21" t="n">
        <x:v>0</x:v>
      </x:c>
      <x:c r="F195" s="21"/>
      <x:c r="G195" s="21" t="str">
        <x:f>IF(COUNT(F195)=0,"판정없음",IF(E195=F195,"일치",E195&amp;"→"&amp;F195))</x:f>
        <x:v>판정없음</x:v>
      </x:c>
      <x:c r="H195" t="str">
        <x:v>not_mentioned</x:v>
      </x:c>
      <x:c r="I195" s="9" t="str"/>
      <x:c r="J195" s="9" t="str">
        <x:v>True</x:v>
      </x:c>
      <x:c r="K195" s="9" t="str"/>
      <x:c r="L195" t="str">
        <x:v>gemma4:e4b</x:v>
      </x:c>
    </x:row>
    <x:row r="196" ht="38" customHeight="1">
      <x:c r="A196" t="n">
        <x:v>1027</x:v>
      </x:c>
      <x:c r="B196" t="str">
        <x:v>1.2.826.0.1.3680043.8.498.12978510157202852202776899910529174803</x:v>
      </x:c>
      <x:c r="C196" t="str">
        <x:v>Bulgarian</x:v>
      </x:c>
      <x:c r="D196" t="str">
        <x:v>MCL</x:v>
      </x:c>
      <x:c r="E196" s="21" t="n">
        <x:v>0</x:v>
      </x:c>
      <x:c r="F196" s="21" t="n">
        <x:v>0</x:v>
      </x:c>
      <x:c r="G196" s="21" t="str">
        <x:f>IF(COUNT(F196)=0,"판정없음",IF(E196=F196,"일치",E196&amp;"→"&amp;F196))</x:f>
        <x:v>일치</x:v>
      </x:c>
      <x:c r="H196" t="str">
        <x:v>explicit_negative</x:v>
      </x:c>
      <x:c r="I196" s="9" t="str">
        <x:v>Кръстните връзки са със запазена цялост.</x:v>
      </x:c>
      <x:c r="J196" s="9" t="str">
        <x:v>True</x:v>
      </x:c>
      <x:c r="K196" s="9" t="str"/>
      <x:c r="L196" t="str">
        <x:v>gemma4:e4b</x:v>
      </x:c>
    </x:row>
    <x:row r="197" ht="38" customHeight="1">
      <x:c r="A197" t="n">
        <x:v>1027</x:v>
      </x:c>
      <x:c r="B197" t="str">
        <x:v>1.2.826.0.1.3680043.8.498.12978510157202852202776899910529174803</x:v>
      </x:c>
      <x:c r="C197" t="str">
        <x:v>Bulgarian</x:v>
      </x:c>
      <x:c r="D197" t="str">
        <x:v>Medial Meniscus</x:v>
      </x:c>
      <x:c r="E197" s="21" t="n">
        <x:v>0</x:v>
      </x:c>
      <x:c r="F197" s="21" t="n">
        <x:v>0</x:v>
      </x:c>
      <x:c r="G197" s="21" t="str">
        <x:f>IF(COUNT(F197)=0,"판정없음",IF(E197=F197,"일치",E197&amp;"→"&amp;F197))</x:f>
        <x:v>일치</x:v>
      </x:c>
      <x:c r="H197" t="str">
        <x:v>explicit_negative</x:v>
      </x:c>
      <x:c r="I197" s="9" t="str">
        <x:v>Нормално представени менискуси.</x:v>
      </x:c>
      <x:c r="J197" s="9" t="str">
        <x:v>True</x:v>
      </x:c>
      <x:c r="K197" s="9" t="str"/>
      <x:c r="L197" t="str">
        <x:v>gemma4:e4b</x:v>
      </x:c>
    </x:row>
    <x:row r="198" ht="38" customHeight="1">
      <x:c r="A198" t="n">
        <x:v>1027</x:v>
      </x:c>
      <x:c r="B198" t="str">
        <x:v>1.2.826.0.1.3680043.8.498.12978510157202852202776899910529174803</x:v>
      </x:c>
      <x:c r="C198" t="str">
        <x:v>Bulgarian</x:v>
      </x:c>
      <x:c r="D198" t="str">
        <x:v>Medial OA</x:v>
      </x:c>
      <x:c r="E198" s="21" t="n">
        <x:v>0</x:v>
      </x:c>
      <x:c r="F198" s="21"/>
      <x:c r="G198" s="21" t="str">
        <x:f>IF(COUNT(F198)=0,"판정없음",IF(E198=F198,"일치",E198&amp;"→"&amp;F198))</x:f>
        <x:v>판정없음</x:v>
      </x:c>
      <x:c r="H198" t="str">
        <x:v>not_mentioned</x:v>
      </x:c>
      <x:c r="I198" s="9" t="str"/>
      <x:c r="J198" s="9" t="str">
        <x:v>True</x:v>
      </x:c>
      <x:c r="K198" s="9" t="str"/>
      <x:c r="L198" t="str">
        <x:v>gemma4:e4b</x:v>
      </x:c>
    </x:row>
    <x:row r="199" ht="38" customHeight="1">
      <x:c r="A199" t="n">
        <x:v>1027</x:v>
      </x:c>
      <x:c r="B199" t="str">
        <x:v>1.2.826.0.1.3680043.8.498.12978510157202852202776899910529174803</x:v>
      </x:c>
      <x:c r="C199" t="str">
        <x:v>Bulgarian</x:v>
      </x:c>
      <x:c r="D199" t="str">
        <x:v>PF OA</x:v>
      </x:c>
      <x:c r="E199" s="21" t="n">
        <x:v>0</x:v>
      </x:c>
      <x:c r="F199" s="21"/>
      <x:c r="G199" s="21" t="str">
        <x:f>IF(COUNT(F199)=0,"판정없음",IF(E199=F199,"일치",E199&amp;"→"&amp;F199))</x:f>
        <x:v>판정없음</x:v>
      </x:c>
      <x:c r="H199" t="str">
        <x:v>not_mentioned</x:v>
      </x:c>
      <x:c r="I199" s="9" t="str"/>
      <x:c r="J199" s="9" t="str">
        <x:v>True</x:v>
      </x:c>
      <x:c r="K199" s="9" t="str"/>
      <x:c r="L199" t="str">
        <x:v>gemma4:e4b</x:v>
      </x:c>
    </x:row>
    <x:row r="200" ht="38" customHeight="1">
      <x:c r="A200" t="n">
        <x:v>1027</x:v>
      </x:c>
      <x:c r="B200" t="str">
        <x:v>1.2.826.0.1.3680043.8.498.12978510157202852202776899910529174803</x:v>
      </x:c>
      <x:c r="C200" t="str">
        <x:v>Bulgarian</x:v>
      </x:c>
      <x:c r="D200" t="str">
        <x:v>Synovitis</x:v>
      </x:c>
      <x:c r="E200" s="21" t="n">
        <x:v>0</x:v>
      </x:c>
      <x:c r="F200" s="21"/>
      <x:c r="G200" s="21" t="str">
        <x:f>IF(COUNT(F200)=0,"판정없음",IF(E200=F200,"일치",E200&amp;"→"&amp;F200))</x:f>
        <x:v>판정없음</x:v>
      </x:c>
      <x:c r="H200" t="str">
        <x:v>not_mentioned</x:v>
      </x:c>
      <x:c r="I200" s="9" t="str"/>
      <x:c r="J200" s="9" t="str">
        <x:v>True</x:v>
      </x:c>
      <x:c r="K200" s="9" t="str"/>
      <x:c r="L200" t="str">
        <x:v>gemma4:e4b</x:v>
      </x:c>
    </x:row>
    <x:row r="201" ht="38" customHeight="1">
      <x:c r="A201" t="n">
        <x:v>1150</x:v>
      </x:c>
      <x:c r="B201" t="str">
        <x:v>1.2.826.0.1.3680043.8.498.13267780356245120052411517053322874891</x:v>
      </x:c>
      <x:c r="C201" t="str">
        <x:v>English</x:v>
      </x:c>
      <x:c r="D201" t="str">
        <x:v>ACL</x:v>
      </x:c>
      <x:c r="E201" s="21" t="n">
        <x:v>0</x:v>
      </x:c>
      <x:c r="F201" s="21" t="n">
        <x:v>1</x:v>
      </x:c>
      <x:c r="G201" s="21" t="str">
        <x:f>IF(COUNT(F201)=0,"판정없음",IF(E201=F201,"일치",E201&amp;"→"&amp;F201))</x:f>
        <x:v>0→1</x:v>
      </x:c>
      <x:c r="H201" t="str">
        <x:v>explicit_positive</x:v>
      </x:c>
      <x:c r="I201" s="9" t="str">
        <x:v>Grade 2 injury of anterior cruciate ligament.</x:v>
      </x:c>
      <x:c r="J201" s="9" t="str">
        <x:v>True</x:v>
      </x:c>
      <x:c r="K201" s="9" t="str">
        <x:v>anterior cruciate ligament</x:v>
      </x:c>
      <x:c r="L201" t="str">
        <x:v>gemma4:e4b</x:v>
      </x:c>
    </x:row>
    <x:row r="202" ht="38" customHeight="1">
      <x:c r="A202" t="n">
        <x:v>1150</x:v>
      </x:c>
      <x:c r="B202" t="str">
        <x:v>1.2.826.0.1.3680043.8.498.13267780356245120052411517053322874891</x:v>
      </x:c>
      <x:c r="C202" t="str">
        <x:v>English</x:v>
      </x:c>
      <x:c r="D202" t="str">
        <x:v>Baker's</x:v>
      </x:c>
      <x:c r="E202" s="21" t="n">
        <x:v>0</x:v>
      </x:c>
      <x:c r="F202" s="21"/>
      <x:c r="G202" s="21" t="str">
        <x:f>IF(COUNT(F202)=0,"판정없음",IF(E202=F202,"일치",E202&amp;"→"&amp;F202))</x:f>
        <x:v>판정없음</x:v>
      </x:c>
      <x:c r="H202" t="str">
        <x:v>not_mentioned</x:v>
      </x:c>
      <x:c r="I202" s="9" t="str"/>
      <x:c r="J202" s="9" t="str">
        <x:v>True</x:v>
      </x:c>
      <x:c r="K202" s="9" t="str"/>
      <x:c r="L202" t="str">
        <x:v>gemma4:e4b</x:v>
      </x:c>
    </x:row>
    <x:row r="203" ht="38" customHeight="1">
      <x:c r="A203" t="n">
        <x:v>1150</x:v>
      </x:c>
      <x:c r="B203" t="str">
        <x:v>1.2.826.0.1.3680043.8.498.13267780356245120052411517053322874891</x:v>
      </x:c>
      <x:c r="C203" t="str">
        <x:v>English</x:v>
      </x:c>
      <x:c r="D203" t="str">
        <x:v>Contusion</x:v>
      </x:c>
      <x:c r="E203" s="21" t="n">
        <x:v>0</x:v>
      </x:c>
      <x:c r="F203" s="21" t="n">
        <x:v>1</x:v>
      </x:c>
      <x:c r="G203" s="21" t="str">
        <x:f>IF(COUNT(F203)=0,"판정없음",IF(E203=F203,"일치",E203&amp;"→"&amp;F203))</x:f>
        <x:v>0→1</x:v>
      </x:c>
      <x:c r="H203" t="str">
        <x:v>explicit_positive</x:v>
      </x:c>
      <x:c r="I203" s="9" t="str">
        <x:v>Bone contusion with neglected fracture line at fibular head.</x:v>
      </x:c>
      <x:c r="J203" s="9" t="str">
        <x:v>True</x:v>
      </x:c>
      <x:c r="K203" s="9" t="str">
        <x:v>bone contusion</x:v>
      </x:c>
      <x:c r="L203" t="str">
        <x:v>gemma4:e4b</x:v>
      </x:c>
    </x:row>
    <x:row r="204" ht="38" customHeight="1">
      <x:c r="A204" t="n">
        <x:v>1150</x:v>
      </x:c>
      <x:c r="B204" t="str">
        <x:v>1.2.826.0.1.3680043.8.498.13267780356245120052411517053322874891</x:v>
      </x:c>
      <x:c r="C204" t="str">
        <x:v>English</x:v>
      </x:c>
      <x:c r="D204" t="str">
        <x:v>Effusion</x:v>
      </x:c>
      <x:c r="E204" s="21" t="n">
        <x:v>0</x:v>
      </x:c>
      <x:c r="F204" s="21" t="n">
        <x:v>1</x:v>
      </x:c>
      <x:c r="G204" s="21" t="str">
        <x:f>IF(COUNT(F204)=0,"판정없음",IF(E204=F204,"일치",E204&amp;"→"&amp;F204))</x:f>
        <x:v>0→1</x:v>
      </x:c>
      <x:c r="H204" t="str">
        <x:v>explicit_positive</x:v>
      </x:c>
      <x:c r="I204" s="9" t="str">
        <x:v>Some joint effusion</x:v>
      </x:c>
      <x:c r="J204" s="9" t="str">
        <x:v>True</x:v>
      </x:c>
      <x:c r="K204" s="9" t="str">
        <x:v>knee joint effusion</x:v>
      </x:c>
      <x:c r="L204" t="str">
        <x:v>gemma4:e4b</x:v>
      </x:c>
    </x:row>
    <x:row r="205" ht="38" customHeight="1">
      <x:c r="A205" t="n">
        <x:v>1150</x:v>
      </x:c>
      <x:c r="B205" t="str">
        <x:v>1.2.826.0.1.3680043.8.498.13267780356245120052411517053322874891</x:v>
      </x:c>
      <x:c r="C205" t="str">
        <x:v>English</x:v>
      </x:c>
      <x:c r="D205" t="str">
        <x:v>Fracture</x:v>
      </x:c>
      <x:c r="E205" s="21" t="n">
        <x:v>1</x:v>
      </x:c>
      <x:c r="F205" s="21" t="n">
        <x:v>1</x:v>
      </x:c>
      <x:c r="G205" s="21" t="str">
        <x:f>IF(COUNT(F205)=0,"판정없음",IF(E205=F205,"일치",E205&amp;"→"&amp;F205))</x:f>
        <x:v>일치</x:v>
      </x:c>
      <x:c r="H205" t="str">
        <x:v>explicit_positive</x:v>
      </x:c>
      <x:c r="I205" s="9" t="str">
        <x:v>Split fractures at tibial plateau with depression of the lateral articular surface and extending to tibial intercondylar region</x:v>
      </x:c>
      <x:c r="J205" s="9" t="str">
        <x:v>True</x:v>
      </x:c>
      <x:c r="K205" s="9" t="str">
        <x:v>tibial plateau</x:v>
      </x:c>
      <x:c r="L205" t="str">
        <x:v>gemma4:e4b</x:v>
      </x:c>
    </x:row>
    <x:row r="206" ht="38" customHeight="1">
      <x:c r="A206" t="n">
        <x:v>1150</x:v>
      </x:c>
      <x:c r="B206" t="str">
        <x:v>1.2.826.0.1.3680043.8.498.13267780356245120052411517053322874891</x:v>
      </x:c>
      <x:c r="C206" t="str">
        <x:v>English</x:v>
      </x:c>
      <x:c r="D206" t="str">
        <x:v>Lateral Meniscus</x:v>
      </x:c>
      <x:c r="E206" s="21" t="n">
        <x:v>1</x:v>
      </x:c>
      <x:c r="F206" s="21" t="n">
        <x:v>1</x:v>
      </x:c>
      <x:c r="G206" s="21" t="str">
        <x:f>IF(COUNT(F206)=0,"판정없음",IF(E206=F206,"일치",E206&amp;"→"&amp;F206))</x:f>
        <x:v>일치</x:v>
      </x:c>
      <x:c r="H206" t="str">
        <x:v>explicit_positive</x:v>
      </x:c>
      <x:c r="I206" s="9" t="str">
        <x:v>Tear of anterior horn of lateral meniscus.</x:v>
      </x:c>
      <x:c r="J206" s="9" t="str">
        <x:v>True</x:v>
      </x:c>
      <x:c r="K206" s="9" t="str">
        <x:v>lateral meniscus</x:v>
      </x:c>
      <x:c r="L206" t="str">
        <x:v>gemma4:e4b</x:v>
      </x:c>
    </x:row>
    <x:row r="207" ht="38" customHeight="1">
      <x:c r="A207" t="n">
        <x:v>1150</x:v>
      </x:c>
      <x:c r="B207" t="str">
        <x:v>1.2.826.0.1.3680043.8.498.13267780356245120052411517053322874891</x:v>
      </x:c>
      <x:c r="C207" t="str">
        <x:v>English</x:v>
      </x:c>
      <x:c r="D207" t="str">
        <x:v>Lateral OA</x:v>
      </x:c>
      <x:c r="E207" s="21" t="n">
        <x:v>0</x:v>
      </x:c>
      <x:c r="F207" s="21"/>
      <x:c r="G207" s="21" t="str">
        <x:f>IF(COUNT(F207)=0,"판정없음",IF(E207=F207,"일치",E207&amp;"→"&amp;F207))</x:f>
        <x:v>판정없음</x:v>
      </x:c>
      <x:c r="H207" t="str">
        <x:v>not_mentioned</x:v>
      </x:c>
      <x:c r="I207" s="9" t="str"/>
      <x:c r="J207" s="9" t="str">
        <x:v>True</x:v>
      </x:c>
      <x:c r="K207" s="9" t="str"/>
      <x:c r="L207" t="str">
        <x:v>gemma4:e4b</x:v>
      </x:c>
    </x:row>
    <x:row r="208" ht="38" customHeight="1">
      <x:c r="A208" t="n">
        <x:v>1150</x:v>
      </x:c>
      <x:c r="B208" t="str">
        <x:v>1.2.826.0.1.3680043.8.498.13267780356245120052411517053322874891</x:v>
      </x:c>
      <x:c r="C208" t="str">
        <x:v>English</x:v>
      </x:c>
      <x:c r="D208" t="str">
        <x:v>MCL</x:v>
      </x:c>
      <x:c r="E208" s="21" t="n">
        <x:v>0</x:v>
      </x:c>
      <x:c r="F208" s="21" t="n">
        <x:v>0</x:v>
      </x:c>
      <x:c r="G208" s="21" t="str">
        <x:f>IF(COUNT(F208)=0,"판정없음",IF(E208=F208,"일치",E208&amp;"→"&amp;F208))</x:f>
        <x:v>일치</x:v>
      </x:c>
      <x:c r="H208" t="str">
        <x:v>explicit_negative</x:v>
      </x:c>
      <x:c r="I208" s="9" t="str">
        <x:v>Both medial &amp; lateral collateral ligaments appear to be within normal.</x:v>
      </x:c>
      <x:c r="J208" s="9" t="str">
        <x:v>True</x:v>
      </x:c>
      <x:c r="K208" s="9" t="str">
        <x:v>medial collateral ligament</x:v>
      </x:c>
      <x:c r="L208" t="str">
        <x:v>gemma4:e4b</x:v>
      </x:c>
    </x:row>
    <x:row r="209" ht="38" customHeight="1">
      <x:c r="A209" t="n">
        <x:v>1150</x:v>
      </x:c>
      <x:c r="B209" t="str">
        <x:v>1.2.826.0.1.3680043.8.498.13267780356245120052411517053322874891</x:v>
      </x:c>
      <x:c r="C209" t="str">
        <x:v>English</x:v>
      </x:c>
      <x:c r="D209" t="str">
        <x:v>Medial Meniscus</x:v>
      </x:c>
      <x:c r="E209" s="21" t="n">
        <x:v>0</x:v>
      </x:c>
      <x:c r="F209" s="21" t="n">
        <x:v>0</x:v>
      </x:c>
      <x:c r="G209" s="21" t="str">
        <x:f>IF(COUNT(F209)=0,"판정없음",IF(E209=F209,"일치",E209&amp;"→"&amp;F209))</x:f>
        <x:v>일치</x:v>
      </x:c>
      <x:c r="H209" t="str">
        <x:v>explicit_negative</x:v>
      </x:c>
      <x:c r="I209" s="9" t="str">
        <x:v>Medial meniscus appears to be normal.</x:v>
      </x:c>
      <x:c r="J209" s="9" t="str">
        <x:v>True</x:v>
      </x:c>
      <x:c r="K209" s="9" t="str">
        <x:v>medial meniscus</x:v>
      </x:c>
      <x:c r="L209" t="str">
        <x:v>gemma4:e4b</x:v>
      </x:c>
    </x:row>
    <x:row r="210" ht="38" customHeight="1">
      <x:c r="A210" t="n">
        <x:v>1150</x:v>
      </x:c>
      <x:c r="B210" t="str">
        <x:v>1.2.826.0.1.3680043.8.498.13267780356245120052411517053322874891</x:v>
      </x:c>
      <x:c r="C210" t="str">
        <x:v>English</x:v>
      </x:c>
      <x:c r="D210" t="str">
        <x:v>Medial OA</x:v>
      </x:c>
      <x:c r="E210" s="21" t="n">
        <x:v>0</x:v>
      </x:c>
      <x:c r="F210" s="21"/>
      <x:c r="G210" s="21" t="str">
        <x:f>IF(COUNT(F210)=0,"판정없음",IF(E210=F210,"일치",E210&amp;"→"&amp;F210))</x:f>
        <x:v>판정없음</x:v>
      </x:c>
      <x:c r="H210" t="str">
        <x:v>not_mentioned</x:v>
      </x:c>
      <x:c r="I210" s="9" t="str"/>
      <x:c r="J210" s="9" t="str">
        <x:v>True</x:v>
      </x:c>
      <x:c r="K210" s="9" t="str"/>
      <x:c r="L210" t="str">
        <x:v>gemma4:e4b</x:v>
      </x:c>
    </x:row>
    <x:row r="211" ht="38" customHeight="1">
      <x:c r="A211" t="n">
        <x:v>1150</x:v>
      </x:c>
      <x:c r="B211" t="str">
        <x:v>1.2.826.0.1.3680043.8.498.13267780356245120052411517053322874891</x:v>
      </x:c>
      <x:c r="C211" t="str">
        <x:v>English</x:v>
      </x:c>
      <x:c r="D211" t="str">
        <x:v>PF OA</x:v>
      </x:c>
      <x:c r="E211" s="21" t="n">
        <x:v>0</x:v>
      </x:c>
      <x:c r="F211" s="21"/>
      <x:c r="G211" s="21" t="str">
        <x:f>IF(COUNT(F211)=0,"판정없음",IF(E211=F211,"일치",E211&amp;"→"&amp;F211))</x:f>
        <x:v>판정없음</x:v>
      </x:c>
      <x:c r="H211" t="str">
        <x:v>not_mentioned</x:v>
      </x:c>
      <x:c r="I211" s="9" t="str"/>
      <x:c r="J211" s="9" t="str">
        <x:v>True</x:v>
      </x:c>
      <x:c r="K211" s="9" t="str"/>
      <x:c r="L211" t="str">
        <x:v>gemma4:e4b</x:v>
      </x:c>
    </x:row>
    <x:row r="212" ht="38" customHeight="1">
      <x:c r="A212" t="n">
        <x:v>1150</x:v>
      </x:c>
      <x:c r="B212" t="str">
        <x:v>1.2.826.0.1.3680043.8.498.13267780356245120052411517053322874891</x:v>
      </x:c>
      <x:c r="C212" t="str">
        <x:v>English</x:v>
      </x:c>
      <x:c r="D212" t="str">
        <x:v>Synovitis</x:v>
      </x:c>
      <x:c r="E212" s="21" t="n">
        <x:v>0</x:v>
      </x:c>
      <x:c r="F212" s="21"/>
      <x:c r="G212" s="21" t="str">
        <x:f>IF(COUNT(F212)=0,"판정없음",IF(E212=F212,"일치",E212&amp;"→"&amp;F212))</x:f>
        <x:v>판정없음</x:v>
      </x:c>
      <x:c r="H212" t="str">
        <x:v>not_mentioned</x:v>
      </x:c>
      <x:c r="I212" s="9" t="str"/>
      <x:c r="J212" s="9" t="str">
        <x:v>True</x:v>
      </x:c>
      <x:c r="K212" s="9" t="str"/>
      <x:c r="L212" t="str">
        <x:v>gemma4:e4b</x:v>
      </x:c>
    </x:row>
    <x:row r="213" ht="38" customHeight="1">
      <x:c r="A213" t="n">
        <x:v>1172</x:v>
      </x:c>
      <x:c r="B213" t="str">
        <x:v>1.2.826.0.1.3680043.8.498.13335129881737731410081002627729200903</x:v>
      </x:c>
      <x:c r="C213" t="str">
        <x:v>Dutch</x:v>
      </x:c>
      <x:c r="D213" t="str">
        <x:v>ACL</x:v>
      </x:c>
      <x:c r="E213" s="21" t="n">
        <x:v>1</x:v>
      </x:c>
      <x:c r="F213" s="21"/>
      <x:c r="G213" s="21" t="str">
        <x:f>IF(COUNT(F213)=0,"판정없음",IF(E213=F213,"일치",E213&amp;"→"&amp;F213))</x:f>
        <x:v>판정없음</x:v>
      </x:c>
      <x:c r="H213" t="str">
        <x:v>uncertain_or_indirect</x:v>
      </x:c>
      <x:c r="I213" s="9" t="str">
        <x:v>gevorderde muco ïde degeneratie van de voorste kruisband</x:v>
      </x:c>
      <x:c r="J213" s="9" t="str">
        <x:v>True</x:v>
      </x:c>
      <x:c r="K213" s="9" t="str">
        <x:v>degeneratie</x:v>
      </x:c>
      <x:c r="L213" t="str">
        <x:v>gemma4:e4b</x:v>
      </x:c>
    </x:row>
    <x:row r="214" ht="38" customHeight="1">
      <x:c r="A214" t="n">
        <x:v>1172</x:v>
      </x:c>
      <x:c r="B214" t="str">
        <x:v>1.2.826.0.1.3680043.8.498.13335129881737731410081002627729200903</x:v>
      </x:c>
      <x:c r="C214" t="str">
        <x:v>Dutch</x:v>
      </x:c>
      <x:c r="D214" t="str">
        <x:v>Baker's</x:v>
      </x:c>
      <x:c r="E214" s="21" t="n">
        <x:v>1</x:v>
      </x:c>
      <x:c r="F214" s="21" t="n">
        <x:v>1</x:v>
      </x:c>
      <x:c r="G214" s="21" t="str">
        <x:f>IF(COUNT(F214)=0,"판정없음",IF(E214=F214,"일치",E214&amp;"→"&amp;F214))</x:f>
        <x:v>일치</x:v>
      </x:c>
      <x:c r="H214" t="str">
        <x:v>explicit_positive</x:v>
      </x:c>
      <x:c r="I214" s="9" t="str">
        <x:v>Popliteale cyste</x:v>
      </x:c>
      <x:c r="J214" s="9" t="str">
        <x:v>True</x:v>
      </x:c>
      <x:c r="K214" s="9" t="str">
        <x:v>recente scheur</x:v>
      </x:c>
      <x:c r="L214" t="str">
        <x:v>gemma4:e4b</x:v>
      </x:c>
    </x:row>
    <x:row r="215" ht="38" customHeight="1">
      <x:c r="A215" t="n">
        <x:v>1172</x:v>
      </x:c>
      <x:c r="B215" t="str">
        <x:v>1.2.826.0.1.3680043.8.498.13335129881737731410081002627729200903</x:v>
      </x:c>
      <x:c r="C215" t="str">
        <x:v>Dutch</x:v>
      </x:c>
      <x:c r="D215" t="str">
        <x:v>Contusion</x:v>
      </x:c>
      <x:c r="E215" s="21" t="n">
        <x:v>0</x:v>
      </x:c>
      <x:c r="F215" s="21" t="n">
        <x:v>0</x:v>
      </x:c>
      <x:c r="G215" s="21" t="str">
        <x:f>IF(COUNT(F215)=0,"판정없음",IF(E215=F215,"일치",E215&amp;"→"&amp;F215))</x:f>
        <x:v>일치</x:v>
      </x:c>
      <x:c r="H215" t="str">
        <x:v>explicit_negative</x:v>
      </x:c>
      <x:c r="I215" s="9" t="str">
        <x:v>zonder significant botoedeem</x:v>
      </x:c>
      <x:c r="J215" s="9" t="str">
        <x:v>True</x:v>
      </x:c>
      <x:c r="K215" s="9" t="str">
        <x:v>bone contusion</x:v>
      </x:c>
      <x:c r="L215" t="str">
        <x:v>gemma4:e4b</x:v>
      </x:c>
    </x:row>
    <x:row r="216" ht="38" customHeight="1">
      <x:c r="A216" t="n">
        <x:v>1172</x:v>
      </x:c>
      <x:c r="B216" t="str">
        <x:v>1.2.826.0.1.3680043.8.498.13335129881737731410081002627729200903</x:v>
      </x:c>
      <x:c r="C216" t="str">
        <x:v>Dutch</x:v>
      </x:c>
      <x:c r="D216" t="str">
        <x:v>Effusion</x:v>
      </x:c>
      <x:c r="E216" s="21" t="n">
        <x:v>1</x:v>
      </x:c>
      <x:c r="F216" s="21" t="n">
        <x:v>1</x:v>
      </x:c>
      <x:c r="G216" s="21" t="str">
        <x:f>IF(COUNT(F216)=0,"판정없음",IF(E216=F216,"일치",E216&amp;"→"&amp;F216))</x:f>
        <x:v>일치</x:v>
      </x:c>
      <x:c r="H216" t="str">
        <x:v>explicit_positive</x:v>
      </x:c>
      <x:c r="I216" s="9" t="str">
        <x:v>op heden met hydrops</x:v>
      </x:c>
      <x:c r="J216" s="9" t="str">
        <x:v>True</x:v>
      </x:c>
      <x:c r="K216" s="9" t="str">
        <x:v>hydrops</x:v>
      </x:c>
      <x:c r="L216" t="str">
        <x:v>gemma4:e4b</x:v>
      </x:c>
    </x:row>
    <x:row r="217" ht="38" customHeight="1">
      <x:c r="A217" t="n">
        <x:v>1172</x:v>
      </x:c>
      <x:c r="B217" t="str">
        <x:v>1.2.826.0.1.3680043.8.498.13335129881737731410081002627729200903</x:v>
      </x:c>
      <x:c r="C217" t="str">
        <x:v>Dutch</x:v>
      </x:c>
      <x:c r="D217" t="str">
        <x:v>Fracture</x:v>
      </x:c>
      <x:c r="E217" s="21" t="n">
        <x:v>0</x:v>
      </x:c>
      <x:c r="F217" s="21"/>
      <x:c r="G217" s="21" t="str">
        <x:f>IF(COUNT(F217)=0,"판정없음",IF(E217=F217,"일치",E217&amp;"→"&amp;F217))</x:f>
        <x:v>판정없음</x:v>
      </x:c>
      <x:c r="H217" t="str">
        <x:v>not_mentioned</x:v>
      </x:c>
      <x:c r="I217" s="9" t="str"/>
      <x:c r="J217" s="9" t="str">
        <x:v>True</x:v>
      </x:c>
      <x:c r="K217" s="9" t="str"/>
      <x:c r="L217" t="str">
        <x:v>gemma4:e4b</x:v>
      </x:c>
    </x:row>
    <x:row r="218" ht="38" customHeight="1">
      <x:c r="A218" t="n">
        <x:v>1172</x:v>
      </x:c>
      <x:c r="B218" t="str">
        <x:v>1.2.826.0.1.3680043.8.498.13335129881737731410081002627729200903</x:v>
      </x:c>
      <x:c r="C218" t="str">
        <x:v>Dutch</x:v>
      </x:c>
      <x:c r="D218" t="str">
        <x:v>Lateral Meniscus</x:v>
      </x:c>
      <x:c r="E218" s="21" t="n">
        <x:v>1</x:v>
      </x:c>
      <x:c r="F218" s="21"/>
      <x:c r="G218" s="21" t="str">
        <x:f>IF(COUNT(F218)=0,"판정없음",IF(E218=F218,"일치",E218&amp;"→"&amp;F218))</x:f>
        <x:v>판정없음</x:v>
      </x:c>
      <x:c r="H218" t="str">
        <x:v>uncertain_or_indirect</x:v>
      </x:c>
      <x:c r="I218" s="9" t="str">
        <x:v>Degeneratief voorkomen laterale meniscus</x:v>
      </x:c>
      <x:c r="J218" s="9" t="str">
        <x:v>True</x:v>
      </x:c>
      <x:c r="K218" s="9" t="str">
        <x:v>opzetting van het corpus</x:v>
      </x:c>
      <x:c r="L218" t="str">
        <x:v>gemma4:e4b</x:v>
      </x:c>
    </x:row>
    <x:row r="219" ht="38" customHeight="1">
      <x:c r="A219" t="n">
        <x:v>1172</x:v>
      </x:c>
      <x:c r="B219" t="str">
        <x:v>1.2.826.0.1.3680043.8.498.13335129881737731410081002627729200903</x:v>
      </x:c>
      <x:c r="C219" t="str">
        <x:v>Dutch</x:v>
      </x:c>
      <x:c r="D219" t="str">
        <x:v>Lateral OA</x:v>
      </x:c>
      <x:c r="E219" s="21" t="n">
        <x:v>1</x:v>
      </x:c>
      <x:c r="F219" s="21" t="n">
        <x:v>1</x:v>
      </x:c>
      <x:c r="G219" s="21" t="str">
        <x:f>IF(COUNT(F219)=0,"판정없음",IF(E219=F219,"일치",E219&amp;"→"&amp;F219))</x:f>
        <x:v>일치</x:v>
      </x:c>
      <x:c r="H219" t="str">
        <x:v>explicit_positive</x:v>
      </x:c>
      <x:c r="I219" s="9" t="str">
        <x:v>Gevorderd lateraal femorotibiaal kraakbeenlijden met volledig kraakbeenverlies anterieur, centrale en posterieure dragende deel en van het laterale tibiaplateau, gepaard gaand met marginale osteofytose</x:v>
      </x:c>
      <x:c r="J219" s="9" t="str">
        <x:v>True</x:v>
      </x:c>
      <x:c r="K219" s="9" t="str">
        <x:v>laterale tibiaplateau</x:v>
      </x:c>
      <x:c r="L219" t="str">
        <x:v>gemma4:e4b</x:v>
      </x:c>
    </x:row>
    <x:row r="220" ht="38" customHeight="1">
      <x:c r="A220" t="n">
        <x:v>1172</x:v>
      </x:c>
      <x:c r="B220" t="str">
        <x:v>1.2.826.0.1.3680043.8.498.13335129881737731410081002627729200903</x:v>
      </x:c>
      <x:c r="C220" t="str">
        <x:v>Dutch</x:v>
      </x:c>
      <x:c r="D220" t="str">
        <x:v>MCL</x:v>
      </x:c>
      <x:c r="E220" s="21" t="n">
        <x:v>0</x:v>
      </x:c>
      <x:c r="F220" s="21" t="n">
        <x:v>1</x:v>
      </x:c>
      <x:c r="G220" s="21" t="str">
        <x:f>IF(COUNT(F220)=0,"판정없음",IF(E220=F220,"일치",E220&amp;"→"&amp;F220))</x:f>
        <x:v>0→1</x:v>
      </x:c>
      <x:c r="H220" t="str">
        <x:v>explicit_positive</x:v>
      </x:c>
      <x:c r="I220" s="9" t="str">
        <x:v>Matig mediaal femorotibiaal kraakbeenlijden</x:v>
      </x:c>
      <x:c r="J220" s="9" t="str">
        <x:v>True</x:v>
      </x:c>
      <x:c r="K220" s="9" t="str">
        <x:v>mediale femorale condyl</x:v>
      </x:c>
      <x:c r="L220" t="str">
        <x:v>gemma4:e4b</x:v>
      </x:c>
    </x:row>
    <x:row r="221" ht="38" customHeight="1">
      <x:c r="A221" t="n">
        <x:v>1172</x:v>
      </x:c>
      <x:c r="B221" t="str">
        <x:v>1.2.826.0.1.3680043.8.498.13335129881737731410081002627729200903</x:v>
      </x:c>
      <x:c r="C221" t="str">
        <x:v>Dutch</x:v>
      </x:c>
      <x:c r="D221" t="str">
        <x:v>Medial Meniscus</x:v>
      </x:c>
      <x:c r="E221" s="21" t="n">
        <x:v>1</x:v>
      </x:c>
      <x:c r="F221" s="21"/>
      <x:c r="G221" s="21" t="str">
        <x:f>IF(COUNT(F221)=0,"판정없음",IF(E221=F221,"일치",E221&amp;"→"&amp;F221))</x:f>
        <x:v>판정없음</x:v>
      </x:c>
      <x:c r="H221" t="str">
        <x:v>not_mentioned</x:v>
      </x:c>
      <x:c r="I221" s="9" t="str"/>
      <x:c r="J221" s="9" t="str">
        <x:v>True</x:v>
      </x:c>
      <x:c r="K221" s="9" t="str"/>
      <x:c r="L221" t="str">
        <x:v>gemma4:e4b</x:v>
      </x:c>
    </x:row>
    <x:row r="222" ht="38" customHeight="1">
      <x:c r="A222" t="n">
        <x:v>1172</x:v>
      </x:c>
      <x:c r="B222" t="str">
        <x:v>1.2.826.0.1.3680043.8.498.13335129881737731410081002627729200903</x:v>
      </x:c>
      <x:c r="C222" t="str">
        <x:v>Dutch</x:v>
      </x:c>
      <x:c r="D222" t="str">
        <x:v>Medial OA</x:v>
      </x:c>
      <x:c r="E222" s="21" t="n">
        <x:v>1</x:v>
      </x:c>
      <x:c r="F222" s="21" t="n">
        <x:v>1</x:v>
      </x:c>
      <x:c r="G222" s="21" t="str">
        <x:f>IF(COUNT(F222)=0,"판정없음",IF(E222=F222,"일치",E222&amp;"→"&amp;F222))</x:f>
        <x:v>일치</x:v>
      </x:c>
      <x:c r="H222" t="str">
        <x:v>explicit_positive</x:v>
      </x:c>
      <x:c r="I222" s="9" t="str">
        <x:v>Matig mediaal femorotibiaal kraakbeenlijden, met quasi volledig kraakbeenverlies dragende deel mediale femorale condyl, uitgebreide marginale osteofytose</x:v>
      </x:c>
      <x:c r="J222" s="9" t="str">
        <x:v>True</x:v>
      </x:c>
      <x:c r="K222" s="9" t="str">
        <x:v>mediale femorale condyl</x:v>
      </x:c>
      <x:c r="L222" t="str">
        <x:v>gemma4:e4b</x:v>
      </x:c>
    </x:row>
    <x:row r="223" ht="38" customHeight="1">
      <x:c r="A223" t="n">
        <x:v>1172</x:v>
      </x:c>
      <x:c r="B223" t="str">
        <x:v>1.2.826.0.1.3680043.8.498.13335129881737731410081002627729200903</x:v>
      </x:c>
      <x:c r="C223" t="str">
        <x:v>Dutch</x:v>
      </x:c>
      <x:c r="D223" t="str">
        <x:v>PF OA</x:v>
      </x:c>
      <x:c r="E223" s="21" t="n">
        <x:v>1</x:v>
      </x:c>
      <x:c r="F223" s="21" t="n">
        <x:v>1</x:v>
      </x:c>
      <x:c r="G223" s="21" t="str">
        <x:f>IF(COUNT(F223)=0,"판정없음",IF(E223=F223,"일치",E223&amp;"→"&amp;F223))</x:f>
        <x:v>일치</x:v>
      </x:c>
      <x:c r="H223" t="str">
        <x:v>explicit_positive</x:v>
      </x:c>
      <x:c r="I223" s="9" t="str">
        <x:v>nodulair beginnend tot matig femoropatellair kraakbeenlijden</x:v>
      </x:c>
      <x:c r="J223" s="9" t="str">
        <x:v>True</x:v>
      </x:c>
      <x:c r="K223" s="9" t="str">
        <x:v>femoropatellair</x:v>
      </x:c>
      <x:c r="L223" t="str">
        <x:v>gemma4:e4b</x:v>
      </x:c>
    </x:row>
    <x:row r="224" ht="38" customHeight="1">
      <x:c r="A224" t="n">
        <x:v>1172</x:v>
      </x:c>
      <x:c r="B224" t="str">
        <x:v>1.2.826.0.1.3680043.8.498.13335129881737731410081002627729200903</x:v>
      </x:c>
      <x:c r="C224" t="str">
        <x:v>Dutch</x:v>
      </x:c>
      <x:c r="D224" t="str">
        <x:v>Synovitis</x:v>
      </x:c>
      <x:c r="E224" s="21" t="n">
        <x:v>1</x:v>
      </x:c>
      <x:c r="F224" s="21" t="n">
        <x:v>1</x:v>
      </x:c>
      <x:c r="G224" s="21" t="str">
        <x:f>IF(COUNT(F224)=0,"판정없음",IF(E224=F224,"일치",E224&amp;"→"&amp;F224))</x:f>
        <x:v>일치</x:v>
      </x:c>
      <x:c r="H224" t="str">
        <x:v>explicit_positive</x:v>
      </x:c>
      <x:c r="I224" s="9" t="str">
        <x:v>chronische synovitis</x:v>
      </x:c>
      <x:c r="J224" s="9" t="str">
        <x:v>True</x:v>
      </x:c>
      <x:c r="K224" s="9" t="str">
        <x:v>synovitis</x:v>
      </x:c>
      <x:c r="L224" t="str">
        <x:v>gemma4:e4b</x:v>
      </x:c>
    </x:row>
    <x:row r="225" ht="38" customHeight="1">
      <x:c r="A225" t="n">
        <x:v>1275</x:v>
      </x:c>
      <x:c r="B225" t="str">
        <x:v>1.2.826.0.1.3680043.8.498.15593638897292057356864060466120253309</x:v>
      </x:c>
      <x:c r="C225" t="str">
        <x:v>Spanish</x:v>
      </x:c>
      <x:c r="D225" t="str">
        <x:v>ACL</x:v>
      </x:c>
      <x:c r="E225" s="21" t="n">
        <x:v>0</x:v>
      </x:c>
      <x:c r="F225" s="21"/>
      <x:c r="G225" s="21" t="str">
        <x:f>IF(COUNT(F225)=0,"판정없음",IF(E225=F225,"일치",E225&amp;"→"&amp;F225))</x:f>
        <x:v>판정없음</x:v>
      </x:c>
      <x:c r="H225" t="str">
        <x:v>uncertain_or_indirect</x:v>
      </x:c>
      <x:c r="I225" s="9" t="str">
        <x:v>Transformación quística parcial del tercio proximal del LCA</x:v>
      </x:c>
      <x:c r="J225" s="9" t="str">
        <x:v>True</x:v>
      </x:c>
      <x:c r="K225" s="9" t="str"/>
      <x:c r="L225" t="str">
        <x:v>gemma4:e4b</x:v>
      </x:c>
    </x:row>
    <x:row r="226" ht="38" customHeight="1">
      <x:c r="A226" t="n">
        <x:v>1275</x:v>
      </x:c>
      <x:c r="B226" t="str">
        <x:v>1.2.826.0.1.3680043.8.498.15593638897292057356864060466120253309</x:v>
      </x:c>
      <x:c r="C226" t="str">
        <x:v>Spanish</x:v>
      </x:c>
      <x:c r="D226" t="str">
        <x:v>Baker's</x:v>
      </x:c>
      <x:c r="E226" s="21" t="n">
        <x:v>0</x:v>
      </x:c>
      <x:c r="F226" s="21" t="n">
        <x:v>0</x:v>
      </x:c>
      <x:c r="G226" s="21" t="str">
        <x:f>IF(COUNT(F226)=0,"판정없음",IF(E226=F226,"일치",E226&amp;"→"&amp;F226))</x:f>
        <x:v>일치</x:v>
      </x:c>
      <x:c r="H226" t="str">
        <x:v>explicit_negative</x:v>
      </x:c>
      <x:c r="I226" s="9" t="str">
        <x:v>No hay quistes poplíteos.</x:v>
      </x:c>
      <x:c r="J226" s="9" t="str">
        <x:v>True</x:v>
      </x:c>
      <x:c r="K226" s="9" t="str"/>
      <x:c r="L226" t="str">
        <x:v>gemma4:e4b</x:v>
      </x:c>
    </x:row>
    <x:row r="227" ht="38" customHeight="1">
      <x:c r="A227" t="n">
        <x:v>1275</x:v>
      </x:c>
      <x:c r="B227" t="str">
        <x:v>1.2.826.0.1.3680043.8.498.15593638897292057356864060466120253309</x:v>
      </x:c>
      <x:c r="C227" t="str">
        <x:v>Spanish</x:v>
      </x:c>
      <x:c r="D227" t="str">
        <x:v>Contusion</x:v>
      </x:c>
      <x:c r="E227" s="21" t="n">
        <x:v>0</x:v>
      </x:c>
      <x:c r="F227" s="21"/>
      <x:c r="G227" s="21" t="str">
        <x:f>IF(COUNT(F227)=0,"판정없음",IF(E227=F227,"일치",E227&amp;"→"&amp;F227))</x:f>
        <x:v>판정없음</x:v>
      </x:c>
      <x:c r="H227" t="str">
        <x:v>not_mentioned</x:v>
      </x:c>
      <x:c r="I227" s="9" t="str"/>
      <x:c r="J227" s="9" t="str">
        <x:v>True</x:v>
      </x:c>
      <x:c r="K227" s="9" t="str"/>
      <x:c r="L227" t="str">
        <x:v>gemma4:e4b</x:v>
      </x:c>
    </x:row>
    <x:row r="228" ht="38" customHeight="1">
      <x:c r="A228" t="n">
        <x:v>1275</x:v>
      </x:c>
      <x:c r="B228" t="str">
        <x:v>1.2.826.0.1.3680043.8.498.15593638897292057356864060466120253309</x:v>
      </x:c>
      <x:c r="C228" t="str">
        <x:v>Spanish</x:v>
      </x:c>
      <x:c r="D228" t="str">
        <x:v>Effusion</x:v>
      </x:c>
      <x:c r="E228" s="21" t="n">
        <x:v>0</x:v>
      </x:c>
      <x:c r="F228" s="21" t="n">
        <x:v>1</x:v>
      </x:c>
      <x:c r="G228" s="21" t="str">
        <x:f>IF(COUNT(F228)=0,"판정없음",IF(E228=F228,"일치",E228&amp;"→"&amp;F228))</x:f>
        <x:v>0→1</x:v>
      </x:c>
      <x:c r="H228" t="str">
        <x:v>explicit_positive</x:v>
      </x:c>
      <x:c r="I228" s="9" t="str">
        <x:v>Leve derrame articular con discreta sinovitis.</x:v>
      </x:c>
      <x:c r="J228" s="9" t="str">
        <x:v>True</x:v>
      </x:c>
      <x:c r="K228" s="9" t="str"/>
      <x:c r="L228" t="str">
        <x:v>gemma4:e4b</x:v>
      </x:c>
    </x:row>
    <x:row r="229" ht="38" customHeight="1">
      <x:c r="A229" t="n">
        <x:v>1275</x:v>
      </x:c>
      <x:c r="B229" t="str">
        <x:v>1.2.826.0.1.3680043.8.498.15593638897292057356864060466120253309</x:v>
      </x:c>
      <x:c r="C229" t="str">
        <x:v>Spanish</x:v>
      </x:c>
      <x:c r="D229" t="str">
        <x:v>Fracture</x:v>
      </x:c>
      <x:c r="E229" s="21" t="n">
        <x:v>0</x:v>
      </x:c>
      <x:c r="F229" s="21"/>
      <x:c r="G229" s="21" t="str">
        <x:f>IF(COUNT(F229)=0,"판정없음",IF(E229=F229,"일치",E229&amp;"→"&amp;F229))</x:f>
        <x:v>판정없음</x:v>
      </x:c>
      <x:c r="H229" t="str">
        <x:v>not_mentioned</x:v>
      </x:c>
      <x:c r="I229" s="9" t="str"/>
      <x:c r="J229" s="9" t="str">
        <x:v>True</x:v>
      </x:c>
      <x:c r="K229" s="9" t="str"/>
      <x:c r="L229" t="str">
        <x:v>gemma4:e4b</x:v>
      </x:c>
    </x:row>
    <x:row r="230" ht="38" customHeight="1">
      <x:c r="A230" t="n">
        <x:v>1275</x:v>
      </x:c>
      <x:c r="B230" t="str">
        <x:v>1.2.826.0.1.3680043.8.498.15593638897292057356864060466120253309</x:v>
      </x:c>
      <x:c r="C230" t="str">
        <x:v>Spanish</x:v>
      </x:c>
      <x:c r="D230" t="str">
        <x:v>Lateral Meniscus</x:v>
      </x:c>
      <x:c r="E230" s="21" t="n">
        <x:v>1</x:v>
      </x:c>
      <x:c r="F230" s="21" t="n">
        <x:v>1</x:v>
      </x:c>
      <x:c r="G230" s="21" t="str">
        <x:f>IF(COUNT(F230)=0,"판정없음",IF(E230=F230,"일치",E230&amp;"→"&amp;F230))</x:f>
        <x:v>일치</x:v>
      </x:c>
      <x:c r="H230" t="str">
        <x:v>explicit_positive</x:v>
      </x:c>
      <x:c r="I230" s="9" t="str">
        <x:v>Rotura del cuerno anterior, cuerpo y cuerno posterior del menisco lateral con mínima extrusión.</x:v>
      </x:c>
      <x:c r="J230" s="9" t="str">
        <x:v>True</x:v>
      </x:c>
      <x:c r="K230" s="9" t="str">
        <x:v>Rotura compleja del cuerno anterior, cuerpo y cuerno posterior del menisco lateral con mínima extrusión y edema de las partes blandas regionales.</x:v>
      </x:c>
      <x:c r="L230" t="str">
        <x:v>gemma4:e4b</x:v>
      </x:c>
    </x:row>
    <x:row r="231" ht="38" customHeight="1">
      <x:c r="A231" t="n">
        <x:v>1275</x:v>
      </x:c>
      <x:c r="B231" t="str">
        <x:v>1.2.826.0.1.3680043.8.498.15593638897292057356864060466120253309</x:v>
      </x:c>
      <x:c r="C231" t="str">
        <x:v>Spanish</x:v>
      </x:c>
      <x:c r="D231" t="str">
        <x:v>Lateral OA</x:v>
      </x:c>
      <x:c r="E231" s="21" t="n">
        <x:v>1</x:v>
      </x:c>
      <x:c r="F231" s="21" t="n">
        <x:v>1</x:v>
      </x:c>
      <x:c r="G231" s="21" t="str">
        <x:f>IF(COUNT(F231)=0,"판정없음",IF(E231=F231,"일치",E231&amp;"→"&amp;F231))</x:f>
        <x:v>일치</x:v>
      </x:c>
      <x:c r="H231" t="str">
        <x:v>explicit_positive</x:v>
      </x:c>
      <x:c r="I231" s="9" t="str">
        <x:v>Úlceras condrales espesor parcial de la región central del platillo tibial lateral.</x:v>
      </x:c>
      <x:c r="J231" s="9" t="str">
        <x:v>True</x:v>
      </x:c>
      <x:c r="K231" s="9" t="str">
        <x:v>Condropatía lesiones grado 3 de... del platillo tibial lateral.</x:v>
      </x:c>
      <x:c r="L231" t="str">
        <x:v>gemma4:e4b</x:v>
      </x:c>
    </x:row>
    <x:row r="232" ht="38" customHeight="1">
      <x:c r="A232" t="n">
        <x:v>1275</x:v>
      </x:c>
      <x:c r="B232" t="str">
        <x:v>1.2.826.0.1.3680043.8.498.15593638897292057356864060466120253309</x:v>
      </x:c>
      <x:c r="C232" t="str">
        <x:v>Spanish</x:v>
      </x:c>
      <x:c r="D232" t="str">
        <x:v>MCL</x:v>
      </x:c>
      <x:c r="E232" s="21" t="n">
        <x:v>0</x:v>
      </x:c>
      <x:c r="F232" s="21" t="n">
        <x:v>0</x:v>
      </x:c>
      <x:c r="G232" s="21" t="str">
        <x:f>IF(COUNT(F232)=0,"판정없음",IF(E232=F232,"일치",E232&amp;"→"&amp;F232))</x:f>
        <x:v>일치</x:v>
      </x:c>
      <x:c r="H232" t="str">
        <x:v>explicit_negative</x:v>
      </x:c>
      <x:c r="I232" s="9" t="str">
        <x:v>LCP y ligamentos colaterales dentro de límites normales</x:v>
      </x:c>
      <x:c r="J232" s="9" t="str">
        <x:v>True</x:v>
      </x:c>
      <x:c r="K232" s="9" t="str"/>
      <x:c r="L232" t="str">
        <x:v>gemma4:e4b</x:v>
      </x:c>
    </x:row>
    <x:row r="233" ht="38" customHeight="1">
      <x:c r="A233" t="n">
        <x:v>1275</x:v>
      </x:c>
      <x:c r="B233" t="str">
        <x:v>1.2.826.0.1.3680043.8.498.15593638897292057356864060466120253309</x:v>
      </x:c>
      <x:c r="C233" t="str">
        <x:v>Spanish</x:v>
      </x:c>
      <x:c r="D233" t="str">
        <x:v>Medial Meniscus</x:v>
      </x:c>
      <x:c r="E233" s="21" t="n">
        <x:v>0</x:v>
      </x:c>
      <x:c r="F233" s="21" t="n">
        <x:v>1</x:v>
      </x:c>
      <x:c r="G233" s="21" t="str">
        <x:f>IF(COUNT(F233)=0,"판정없음",IF(E233=F233,"일치",E233&amp;"→"&amp;F233))</x:f>
        <x:v>0→1</x:v>
      </x:c>
      <x:c r="H233" t="str">
        <x:v>explicit_positive</x:v>
      </x:c>
      <x:c r="I233" s="9" t="str">
        <x:v>Aumento de señal central del cuerno posterior y cuerpo del menisco medial que contacta la superficie articular inferior sugieran una rotura.</x:v>
      </x:c>
      <x:c r="J233" s="9" t="str">
        <x:v>True</x:v>
      </x:c>
      <x:c r="K233" s="9" t="str">
        <x:v>Signos de una rotura del menisco medial, no desplazada.</x:v>
      </x:c>
      <x:c r="L233" t="str">
        <x:v>gemma4:e4b</x:v>
      </x:c>
    </x:row>
    <x:row r="234" ht="38" customHeight="1">
      <x:c r="A234" t="n">
        <x:v>1275</x:v>
      </x:c>
      <x:c r="B234" t="str">
        <x:v>1.2.826.0.1.3680043.8.498.15593638897292057356864060466120253309</x:v>
      </x:c>
      <x:c r="C234" t="str">
        <x:v>Spanish</x:v>
      </x:c>
      <x:c r="D234" t="str">
        <x:v>Medial OA</x:v>
      </x:c>
      <x:c r="E234" s="21" t="n">
        <x:v>1</x:v>
      </x:c>
      <x:c r="F234" s="21" t="n">
        <x:v>1</x:v>
      </x:c>
      <x:c r="G234" s="21" t="str">
        <x:f>IF(COUNT(F234)=0,"판정없음",IF(E234=F234,"일치",E234&amp;"→"&amp;F234))</x:f>
        <x:v>일치</x:v>
      </x:c>
      <x:c r="H234" t="str">
        <x:v>explicit_positive</x:v>
      </x:c>
      <x:c r="I234" s="9" t="str">
        <x:v>Úlceras condrales de espesor parcial y total de la región central de la zona de carga del cóndilo femoral medial.</x:v>
      </x:c>
      <x:c r="J234" s="9" t="str">
        <x:v>True</x:v>
      </x:c>
      <x:c r="K234" s="9" t="str">
        <x:v>Condropatía lesiones grado 3 de la región central de la zona de carga del cóndilo femoral medial</x:v>
      </x:c>
      <x:c r="L234" t="str">
        <x:v>gemma4:e4b</x:v>
      </x:c>
    </x:row>
    <x:row r="235" ht="38" customHeight="1">
      <x:c r="A235" t="n">
        <x:v>1275</x:v>
      </x:c>
      <x:c r="B235" t="str">
        <x:v>1.2.826.0.1.3680043.8.498.15593638897292057356864060466120253309</x:v>
      </x:c>
      <x:c r="C235" t="str">
        <x:v>Spanish</x:v>
      </x:c>
      <x:c r="D235" t="str">
        <x:v>PF OA</x:v>
      </x:c>
      <x:c r="E235" s="21" t="n">
        <x:v>1</x:v>
      </x:c>
      <x:c r="F235" s="21" t="n">
        <x:v>1</x:v>
      </x:c>
      <x:c r="G235" s="21" t="str">
        <x:f>IF(COUNT(F235)=0,"판정없음",IF(E235=F235,"일치",E235&amp;"→"&amp;F235))</x:f>
        <x:v>일치</x:v>
      </x:c>
      <x:c r="H235" t="str">
        <x:v>explicit_positive</x:v>
      </x:c>
      <x:c r="I235" s="9" t="str">
        <x:v>Úlceras condrales de espesor total de distribución difusa de la rótula.</x:v>
      </x:c>
      <x:c r="J235" s="9" t="str">
        <x:v>True</x:v>
      </x:c>
      <x:c r="K235" s="9" t="str">
        <x:v>Condropatía lesiones grado 2 y 3 de la rótula.</x:v>
      </x:c>
      <x:c r="L235" t="str">
        <x:v>gemma4:e4b</x:v>
      </x:c>
    </x:row>
    <x:row r="236" ht="38" customHeight="1">
      <x:c r="A236" t="n">
        <x:v>1275</x:v>
      </x:c>
      <x:c r="B236" t="str">
        <x:v>1.2.826.0.1.3680043.8.498.15593638897292057356864060466120253309</x:v>
      </x:c>
      <x:c r="C236" t="str">
        <x:v>Spanish</x:v>
      </x:c>
      <x:c r="D236" t="str">
        <x:v>Synovitis</x:v>
      </x:c>
      <x:c r="E236" s="21" t="n">
        <x:v>1</x:v>
      </x:c>
      <x:c r="F236" s="21" t="n">
        <x:v>1</x:v>
      </x:c>
      <x:c r="G236" s="21" t="str">
        <x:f>IF(COUNT(F236)=0,"판정없음",IF(E236=F236,"일치",E236&amp;"→"&amp;F236))</x:f>
        <x:v>일치</x:v>
      </x:c>
      <x:c r="H236" t="str">
        <x:v>explicit_positive</x:v>
      </x:c>
      <x:c r="I236" s="9" t="str">
        <x:v>Leve derrame articular con discreta sinovitis.</x:v>
      </x:c>
      <x:c r="J236" s="9" t="str">
        <x:v>True</x:v>
      </x:c>
      <x:c r="K236" s="9" t="str">
        <x:v>discreta sinovitis difusa.</x:v>
      </x:c>
      <x:c r="L236" t="str">
        <x:v>gemma4:e4b</x:v>
      </x:c>
    </x:row>
    <x:row r="237" ht="38" customHeight="1">
      <x:c r="A237" t="n">
        <x:v>1286</x:v>
      </x:c>
      <x:c r="B237" t="str">
        <x:v>1.2.826.0.1.3680043.8.498.16060119389060497136231217718921482192</x:v>
      </x:c>
      <x:c r="C237" t="str">
        <x:v>English</x:v>
      </x:c>
      <x:c r="D237" t="str">
        <x:v>ACL</x:v>
      </x:c>
      <x:c r="E237" s="21" t="n">
        <x:v>0</x:v>
      </x:c>
      <x:c r="F237" s="21" t="n">
        <x:v>0</x:v>
      </x:c>
      <x:c r="G237" s="21" t="str">
        <x:f>IF(COUNT(F237)=0,"판정없음",IF(E237=F237,"일치",E237&amp;"→"&amp;F237))</x:f>
        <x:v>일치</x:v>
      </x:c>
      <x:c r="H237" t="str">
        <x:v>explicit_negative</x:v>
      </x:c>
      <x:c r="I237" s="9" t="str">
        <x:v>ACL normal</x:v>
      </x:c>
      <x:c r="J237" s="9" t="str">
        <x:v>True</x:v>
      </x:c>
      <x:c r="K237" s="9" t="str"/>
      <x:c r="L237" t="str">
        <x:v>gemma4:e4b</x:v>
      </x:c>
    </x:row>
    <x:row r="238" ht="38" customHeight="1">
      <x:c r="A238" t="n">
        <x:v>1286</x:v>
      </x:c>
      <x:c r="B238" t="str">
        <x:v>1.2.826.0.1.3680043.8.498.16060119389060497136231217718921482192</x:v>
      </x:c>
      <x:c r="C238" t="str">
        <x:v>English</x:v>
      </x:c>
      <x:c r="D238" t="str">
        <x:v>Baker's</x:v>
      </x:c>
      <x:c r="E238" s="21" t="n">
        <x:v>1</x:v>
      </x:c>
      <x:c r="F238" s="21" t="n">
        <x:v>1</x:v>
      </x:c>
      <x:c r="G238" s="21" t="str">
        <x:f>IF(COUNT(F238)=0,"판정없음",IF(E238=F238,"일치",E238&amp;"→"&amp;F238))</x:f>
        <x:v>일치</x:v>
      </x:c>
      <x:c r="H238" t="str">
        <x:v>explicit_positive</x:v>
      </x:c>
      <x:c r="I238" s="9" t="str">
        <x:v>Baker's cyst present</x:v>
      </x:c>
      <x:c r="J238" s="9" t="str">
        <x:v>True</x:v>
      </x:c>
      <x:c r="K238" s="9" t="str"/>
      <x:c r="L238" t="str">
        <x:v>gemma4:e4b</x:v>
      </x:c>
    </x:row>
    <x:row r="239" ht="38" customHeight="1">
      <x:c r="A239" t="n">
        <x:v>1286</x:v>
      </x:c>
      <x:c r="B239" t="str">
        <x:v>1.2.826.0.1.3680043.8.498.16060119389060497136231217718921482192</x:v>
      </x:c>
      <x:c r="C239" t="str">
        <x:v>English</x:v>
      </x:c>
      <x:c r="D239" t="str">
        <x:v>Contusion</x:v>
      </x:c>
      <x:c r="E239" s="21" t="n">
        <x:v>0</x:v>
      </x:c>
      <x:c r="F239" s="21" t="n">
        <x:v>1</x:v>
      </x:c>
      <x:c r="G239" s="21" t="str">
        <x:f>IF(COUNT(F239)=0,"판정없음",IF(E239=F239,"일치",E239&amp;"→"&amp;F239))</x:f>
        <x:v>0→1</x:v>
      </x:c>
      <x:c r="H239" t="str">
        <x:v>explicit_positive</x:v>
      </x:c>
      <x:c r="I239" s="9" t="str">
        <x:v>adjacent bone marrow oedema</x:v>
      </x:c>
      <x:c r="J239" s="9" t="str">
        <x:v>True</x:v>
      </x:c>
      <x:c r="K239" s="9" t="str">
        <x:v>medial femoral condyl</x:v>
      </x:c>
      <x:c r="L239" t="str">
        <x:v>gemma4:e4b</x:v>
      </x:c>
    </x:row>
    <x:row r="240" ht="38" customHeight="1">
      <x:c r="A240" t="n">
        <x:v>1286</x:v>
      </x:c>
      <x:c r="B240" t="str">
        <x:v>1.2.826.0.1.3680043.8.498.16060119389060497136231217718921482192</x:v>
      </x:c>
      <x:c r="C240" t="str">
        <x:v>English</x:v>
      </x:c>
      <x:c r="D240" t="str">
        <x:v>Effusion</x:v>
      </x:c>
      <x:c r="E240" s="21" t="n">
        <x:v>1</x:v>
      </x:c>
      <x:c r="F240" s="21" t="n">
        <x:v>1</x:v>
      </x:c>
      <x:c r="G240" s="21" t="str">
        <x:f>IF(COUNT(F240)=0,"판정없음",IF(E240=F240,"일치",E240&amp;"→"&amp;F240))</x:f>
        <x:v>일치</x:v>
      </x:c>
      <x:c r="H240" t="str">
        <x:v>explicit_positive</x:v>
      </x:c>
      <x:c r="I240" s="9" t="str">
        <x:v>Large effusion</x:v>
      </x:c>
      <x:c r="J240" s="9" t="str">
        <x:v>True</x:v>
      </x:c>
      <x:c r="K240" s="9" t="str"/>
      <x:c r="L240" t="str">
        <x:v>gemma4:e4b</x:v>
      </x:c>
    </x:row>
    <x:row r="241" ht="38" customHeight="1">
      <x:c r="A241" t="n">
        <x:v>1286</x:v>
      </x:c>
      <x:c r="B241" t="str">
        <x:v>1.2.826.0.1.3680043.8.498.16060119389060497136231217718921482192</x:v>
      </x:c>
      <x:c r="C241" t="str">
        <x:v>English</x:v>
      </x:c>
      <x:c r="D241" t="str">
        <x:v>Fracture</x:v>
      </x:c>
      <x:c r="E241" s="21" t="n">
        <x:v>1</x:v>
      </x:c>
      <x:c r="F241" s="21" t="n">
        <x:v>1</x:v>
      </x:c>
      <x:c r="G241" s="21" t="str">
        <x:f>IF(COUNT(F241)=0,"판정없음",IF(E241=F241,"일치",E241&amp;"→"&amp;F241))</x:f>
        <x:v>일치</x:v>
      </x:c>
      <x:c r="H241" t="str">
        <x:v>explicit_positive</x:v>
      </x:c>
      <x:c r="I241" s="9" t="str">
        <x:v>Insufficient fracture of medial femoral condyl</x:v>
      </x:c>
      <x:c r="J241" s="9" t="str">
        <x:v>True</x:v>
      </x:c>
      <x:c r="K241" s="9" t="str"/>
      <x:c r="L241" t="str">
        <x:v>gemma4:e4b</x:v>
      </x:c>
    </x:row>
    <x:row r="242" ht="38" customHeight="1">
      <x:c r="A242" t="n">
        <x:v>1286</x:v>
      </x:c>
      <x:c r="B242" t="str">
        <x:v>1.2.826.0.1.3680043.8.498.16060119389060497136231217718921482192</x:v>
      </x:c>
      <x:c r="C242" t="str">
        <x:v>English</x:v>
      </x:c>
      <x:c r="D242" t="str">
        <x:v>Lateral Meniscus</x:v>
      </x:c>
      <x:c r="E242" s="21" t="n">
        <x:v>1</x:v>
      </x:c>
      <x:c r="F242" s="21" t="n">
        <x:v>1</x:v>
      </x:c>
      <x:c r="G242" s="21" t="str">
        <x:f>IF(COUNT(F242)=0,"판정없음",IF(E242=F242,"일치",E242&amp;"→"&amp;F242))</x:f>
        <x:v>일치</x:v>
      </x:c>
      <x:c r="H242" t="str">
        <x:v>explicit_positive</x:v>
      </x:c>
      <x:c r="I242" s="9" t="str">
        <x:v>Lateral meniscus tear</x:v>
      </x:c>
      <x:c r="J242" s="9" t="str">
        <x:v>True</x:v>
      </x:c>
      <x:c r="K242" s="9" t="str"/>
      <x:c r="L242" t="str">
        <x:v>gemma4:e4b</x:v>
      </x:c>
    </x:row>
    <x:row r="243" ht="38" customHeight="1">
      <x:c r="A243" t="n">
        <x:v>1286</x:v>
      </x:c>
      <x:c r="B243" t="str">
        <x:v>1.2.826.0.1.3680043.8.498.16060119389060497136231217718921482192</x:v>
      </x:c>
      <x:c r="C243" t="str">
        <x:v>English</x:v>
      </x:c>
      <x:c r="D243" t="str">
        <x:v>Lateral OA</x:v>
      </x:c>
      <x:c r="E243" s="21" t="n">
        <x:v>1</x:v>
      </x:c>
      <x:c r="F243" s="21"/>
      <x:c r="G243" s="21" t="str">
        <x:f>IF(COUNT(F243)=0,"판정없음",IF(E243=F243,"일치",E243&amp;"→"&amp;F243))</x:f>
        <x:v>판정없음</x:v>
      </x:c>
      <x:c r="H243" t="str">
        <x:v>uncertain_or_indirect</x:v>
      </x:c>
      <x:c r="I243" s="9" t="str">
        <x:v>Incipient OA of all three compartmens</x:v>
      </x:c>
      <x:c r="J243" s="9" t="str">
        <x:v>True</x:v>
      </x:c>
      <x:c r="K243" s="9" t="str">
        <x:v>lateral tibiofemoral compartment</x:v>
      </x:c>
      <x:c r="L243" t="str">
        <x:v>gemma4:e4b</x:v>
      </x:c>
    </x:row>
    <x:row r="244" ht="38" customHeight="1">
      <x:c r="A244" t="n">
        <x:v>1286</x:v>
      </x:c>
      <x:c r="B244" t="str">
        <x:v>1.2.826.0.1.3680043.8.498.16060119389060497136231217718921482192</x:v>
      </x:c>
      <x:c r="C244" t="str">
        <x:v>English</x:v>
      </x:c>
      <x:c r="D244" t="str">
        <x:v>MCL</x:v>
      </x:c>
      <x:c r="E244" s="21" t="n">
        <x:v>0</x:v>
      </x:c>
      <x:c r="F244" s="21" t="n">
        <x:v>0</x:v>
      </x:c>
      <x:c r="G244" s="21" t="str">
        <x:f>IF(COUNT(F244)=0,"판정없음",IF(E244=F244,"일치",E244&amp;"→"&amp;F244))</x:f>
        <x:v>일치</x:v>
      </x:c>
      <x:c r="H244" t="str">
        <x:v>explicit_negative</x:v>
      </x:c>
      <x:c r="I244" s="9" t="str">
        <x:v>MCL normal</x:v>
      </x:c>
      <x:c r="J244" s="9" t="str">
        <x:v>True</x:v>
      </x:c>
      <x:c r="K244" s="9" t="str"/>
      <x:c r="L244" t="str">
        <x:v>gemma4:e4b</x:v>
      </x:c>
    </x:row>
    <x:row r="245" ht="38" customHeight="1">
      <x:c r="A245" t="n">
        <x:v>1286</x:v>
      </x:c>
      <x:c r="B245" t="str">
        <x:v>1.2.826.0.1.3680043.8.498.16060119389060497136231217718921482192</x:v>
      </x:c>
      <x:c r="C245" t="str">
        <x:v>English</x:v>
      </x:c>
      <x:c r="D245" t="str">
        <x:v>Medial Meniscus</x:v>
      </x:c>
      <x:c r="E245" s="21" t="n">
        <x:v>1</x:v>
      </x:c>
      <x:c r="F245" s="21" t="n">
        <x:v>1</x:v>
      </x:c>
      <x:c r="G245" s="21" t="str">
        <x:f>IF(COUNT(F245)=0,"판정없음",IF(E245=F245,"일치",E245&amp;"→"&amp;F245))</x:f>
        <x:v>일치</x:v>
      </x:c>
      <x:c r="H245" t="str">
        <x:v>explicit_positive</x:v>
      </x:c>
      <x:c r="I245" s="9" t="str">
        <x:v>Medial meniscus tear</x:v>
      </x:c>
      <x:c r="J245" s="9" t="str">
        <x:v>True</x:v>
      </x:c>
      <x:c r="K245" s="9" t="str"/>
      <x:c r="L245" t="str">
        <x:v>gemma4:e4b</x:v>
      </x:c>
    </x:row>
    <x:row r="246" ht="38" customHeight="1">
      <x:c r="A246" t="n">
        <x:v>1286</x:v>
      </x:c>
      <x:c r="B246" t="str">
        <x:v>1.2.826.0.1.3680043.8.498.16060119389060497136231217718921482192</x:v>
      </x:c>
      <x:c r="C246" t="str">
        <x:v>English</x:v>
      </x:c>
      <x:c r="D246" t="str">
        <x:v>Medial OA</x:v>
      </x:c>
      <x:c r="E246" s="21" t="n">
        <x:v>1</x:v>
      </x:c>
      <x:c r="F246" s="21"/>
      <x:c r="G246" s="21" t="str">
        <x:f>IF(COUNT(F246)=0,"판정없음",IF(E246=F246,"일치",E246&amp;"→"&amp;F246))</x:f>
        <x:v>판정없음</x:v>
      </x:c>
      <x:c r="H246" t="str">
        <x:v>uncertain_or_indirect</x:v>
      </x:c>
      <x:c r="I246" s="9" t="str">
        <x:v>Incipient OA of all three compartmens</x:v>
      </x:c>
      <x:c r="J246" s="9" t="str">
        <x:v>True</x:v>
      </x:c>
      <x:c r="K246" s="9" t="str">
        <x:v>medial tibiofemoral compartment</x:v>
      </x:c>
      <x:c r="L246" t="str">
        <x:v>gemma4:e4b</x:v>
      </x:c>
    </x:row>
    <x:row r="247" ht="38" customHeight="1">
      <x:c r="A247" t="n">
        <x:v>1286</x:v>
      </x:c>
      <x:c r="B247" t="str">
        <x:v>1.2.826.0.1.3680043.8.498.16060119389060497136231217718921482192</x:v>
      </x:c>
      <x:c r="C247" t="str">
        <x:v>English</x:v>
      </x:c>
      <x:c r="D247" t="str">
        <x:v>PF OA</x:v>
      </x:c>
      <x:c r="E247" s="21" t="n">
        <x:v>1</x:v>
      </x:c>
      <x:c r="F247" s="21"/>
      <x:c r="G247" s="21" t="str">
        <x:f>IF(COUNT(F247)=0,"판정없음",IF(E247=F247,"일치",E247&amp;"→"&amp;F247))</x:f>
        <x:v>판정없음</x:v>
      </x:c>
      <x:c r="H247" t="str">
        <x:v>uncertain_or_indirect</x:v>
      </x:c>
      <x:c r="I247" s="9" t="str">
        <x:v>Incipient OA of all three compartmens</x:v>
      </x:c>
      <x:c r="J247" s="9" t="str">
        <x:v>True</x:v>
      </x:c>
      <x:c r="K247" s="9" t="str">
        <x:v>patellofemoral compartment</x:v>
      </x:c>
      <x:c r="L247" t="str">
        <x:v>gemma4:e4b</x:v>
      </x:c>
    </x:row>
    <x:row r="248" ht="38" customHeight="1">
      <x:c r="A248" t="n">
        <x:v>1286</x:v>
      </x:c>
      <x:c r="B248" t="str">
        <x:v>1.2.826.0.1.3680043.8.498.16060119389060497136231217718921482192</x:v>
      </x:c>
      <x:c r="C248" t="str">
        <x:v>English</x:v>
      </x:c>
      <x:c r="D248" t="str">
        <x:v>Synovitis</x:v>
      </x:c>
      <x:c r="E248" s="21" t="n">
        <x:v>1</x:v>
      </x:c>
      <x:c r="F248" s="21"/>
      <x:c r="G248" s="21" t="str">
        <x:f>IF(COUNT(F248)=0,"판정없음",IF(E248=F248,"일치",E248&amp;"→"&amp;F248))</x:f>
        <x:v>판정없음</x:v>
      </x:c>
      <x:c r="H248" t="str">
        <x:v>not_mentioned</x:v>
      </x:c>
      <x:c r="I248" s="9" t="str"/>
      <x:c r="J248" s="9" t="str">
        <x:v>True</x:v>
      </x:c>
      <x:c r="K248" s="9" t="str"/>
      <x:c r="L248" t="str">
        <x:v>gemma4:e4b</x:v>
      </x:c>
    </x:row>
    <x:row r="249" ht="38" customHeight="1">
      <x:c r="A249" t="n">
        <x:v>1352</x:v>
      </x:c>
      <x:c r="B249" t="str">
        <x:v>1.2.826.0.1.3680043.8.498.17844546765907321649997094867791102711</x:v>
      </x:c>
      <x:c r="C249" t="str">
        <x:v>Turkish</x:v>
      </x:c>
      <x:c r="D249" t="str">
        <x:v>ACL</x:v>
      </x:c>
      <x:c r="E249" s="21" t="n">
        <x:v>1</x:v>
      </x:c>
      <x:c r="F249" s="21" t="n">
        <x:v>1</x:v>
      </x:c>
      <x:c r="G249" s="21" t="str">
        <x:f>IF(COUNT(F249)=0,"판정없음",IF(E249=F249,"일치",E249&amp;"→"&amp;F249))</x:f>
        <x:v>일치</x:v>
      </x:c>
      <x:c r="H249" t="str">
        <x:v>explicit_positive</x:v>
      </x:c>
      <x:c r="I249" s="9" t="str">
        <x:v>Ön çapraz bağdaki laksite artışı ve ödem yüksek olasılıkla tam kat-tam kata yakın yırtık ile birlikte</x:v>
      </x:c>
      <x:c r="J249" s="9" t="str">
        <x:v>True</x:v>
      </x:c>
      <x:c r="K249" s="9" t="str">
        <x:v>laksite artışı ve ödem</x:v>
      </x:c>
      <x:c r="L249" t="str">
        <x:v>gemma4:e4b</x:v>
      </x:c>
    </x:row>
    <x:row r="250" ht="38" customHeight="1">
      <x:c r="A250" t="n">
        <x:v>1352</x:v>
      </x:c>
      <x:c r="B250" t="str">
        <x:v>1.2.826.0.1.3680043.8.498.17844546765907321649997094867791102711</x:v>
      </x:c>
      <x:c r="C250" t="str">
        <x:v>Turkish</x:v>
      </x:c>
      <x:c r="D250" t="str">
        <x:v>Baker's</x:v>
      </x:c>
      <x:c r="E250" s="21" t="n">
        <x:v>0</x:v>
      </x:c>
      <x:c r="F250" s="21"/>
      <x:c r="G250" s="21" t="str">
        <x:f>IF(COUNT(F250)=0,"판정없음",IF(E250=F250,"일치",E250&amp;"→"&amp;F250))</x:f>
        <x:v>판정없음</x:v>
      </x:c>
      <x:c r="H250" t="str">
        <x:v>not_mentioned</x:v>
      </x:c>
      <x:c r="I250" s="9" t="str"/>
      <x:c r="J250" s="9" t="str">
        <x:v>True</x:v>
      </x:c>
      <x:c r="K250" s="9" t="str"/>
      <x:c r="L250" t="str">
        <x:v>gemma4:e4b</x:v>
      </x:c>
    </x:row>
    <x:row r="251" ht="38" customHeight="1">
      <x:c r="A251" t="n">
        <x:v>1352</x:v>
      </x:c>
      <x:c r="B251" t="str">
        <x:v>1.2.826.0.1.3680043.8.498.17844546765907321649997094867791102711</x:v>
      </x:c>
      <x:c r="C251" t="str">
        <x:v>Turkish</x:v>
      </x:c>
      <x:c r="D251" t="str">
        <x:v>Contusion</x:v>
      </x:c>
      <x:c r="E251" s="21" t="n">
        <x:v>0</x:v>
      </x:c>
      <x:c r="F251" s="21" t="n">
        <x:v>1</x:v>
      </x:c>
      <x:c r="G251" s="21" t="str">
        <x:f>IF(COUNT(F251)=0,"판정없음",IF(E251=F251,"일치",E251&amp;"→"&amp;F251))</x:f>
        <x:v>0→1</x:v>
      </x:c>
      <x:c r="H251" t="str">
        <x:v>explicit_positive</x:v>
      </x:c>
      <x:c r="I251" s="9" t="str">
        <x:v>Tibyal plato posterolateral köşesinde pivot kayması ile ilintili kemik kontüzyonu mevcut</x:v>
      </x:c>
      <x:c r="J251" s="9" t="str">
        <x:v>True</x:v>
      </x:c>
      <x:c r="K251" s="9" t="str">
        <x:v>pivot kayması ile ilintili</x:v>
      </x:c>
      <x:c r="L251" t="str">
        <x:v>gemma4:e4b</x:v>
      </x:c>
    </x:row>
    <x:row r="252" ht="38" customHeight="1">
      <x:c r="A252" t="n">
        <x:v>1352</x:v>
      </x:c>
      <x:c r="B252" t="str">
        <x:v>1.2.826.0.1.3680043.8.498.17844546765907321649997094867791102711</x:v>
      </x:c>
      <x:c r="C252" t="str">
        <x:v>Turkish</x:v>
      </x:c>
      <x:c r="D252" t="str">
        <x:v>Effusion</x:v>
      </x:c>
      <x:c r="E252" s="21" t="n">
        <x:v>1</x:v>
      </x:c>
      <x:c r="F252" s="21" t="n">
        <x:v>1</x:v>
      </x:c>
      <x:c r="G252" s="21" t="str">
        <x:f>IF(COUNT(F252)=0,"판정없음",IF(E252=F252,"일치",E252&amp;"→"&amp;F252))</x:f>
        <x:v>일치</x:v>
      </x:c>
      <x:c r="H252" t="str">
        <x:v>explicit_positive</x:v>
      </x:c>
      <x:c r="I252" s="9" t="str">
        <x:v>Diz eklemi içi sıvı miktarı hafif derecede artmış</x:v>
      </x:c>
      <x:c r="J252" s="9" t="str">
        <x:v>True</x:v>
      </x:c>
      <x:c r="K252" s="9" t="str">
        <x:v>hafif derecede artmış</x:v>
      </x:c>
      <x:c r="L252" t="str">
        <x:v>gemma4:e4b</x:v>
      </x:c>
    </x:row>
    <x:row r="253" ht="38" customHeight="1">
      <x:c r="A253" t="n">
        <x:v>1352</x:v>
      </x:c>
      <x:c r="B253" t="str">
        <x:v>1.2.826.0.1.3680043.8.498.17844546765907321649997094867791102711</x:v>
      </x:c>
      <x:c r="C253" t="str">
        <x:v>Turkish</x:v>
      </x:c>
      <x:c r="D253" t="str">
        <x:v>Fracture</x:v>
      </x:c>
      <x:c r="E253" s="21" t="n">
        <x:v>1</x:v>
      </x:c>
      <x:c r="F253" s="21" t="n">
        <x:v>1</x:v>
      </x:c>
      <x:c r="G253" s="21" t="str">
        <x:f>IF(COUNT(F253)=0,"판정없음",IF(E253=F253,"일치",E253&amp;"→"&amp;F253))</x:f>
        <x:v>일치</x:v>
      </x:c>
      <x:c r="H253" t="str">
        <x:v>explicit_positive</x:v>
      </x:c>
      <x:c r="I253" s="9" t="str">
        <x:v>Lateral femoral kondilin ağırlık taşıyan yüzeyinin anteriyor yarısındaki subkondral kırığı kemik iliği ödemi çevreliyor</x:v>
      </x:c>
      <x:c r="J253" s="9" t="str">
        <x:v>True</x:v>
      </x:c>
      <x:c r="K253" s="9" t="str">
        <x:v>subkondral kırığı</x:v>
      </x:c>
      <x:c r="L253" t="str">
        <x:v>gemma4:e4b</x:v>
      </x:c>
    </x:row>
    <x:row r="254" ht="38" customHeight="1">
      <x:c r="A254" t="n">
        <x:v>1352</x:v>
      </x:c>
      <x:c r="B254" t="str">
        <x:v>1.2.826.0.1.3680043.8.498.17844546765907321649997094867791102711</x:v>
      </x:c>
      <x:c r="C254" t="str">
        <x:v>Turkish</x:v>
      </x:c>
      <x:c r="D254" t="str">
        <x:v>Lateral Meniscus</x:v>
      </x:c>
      <x:c r="E254" s="21" t="n">
        <x:v>0</x:v>
      </x:c>
      <x:c r="F254" s="21" t="n">
        <x:v>0</x:v>
      </x:c>
      <x:c r="G254" s="21" t="str">
        <x:f>IF(COUNT(F254)=0,"판정없음",IF(E254=F254,"일치",E254&amp;"→"&amp;F254))</x:f>
        <x:v>일치</x:v>
      </x:c>
      <x:c r="H254" t="str">
        <x:v>explicit_negative</x:v>
      </x:c>
      <x:c r="I254" s="9" t="str">
        <x:v>Medyal menisküs ve lateral menisküs normal</x:v>
      </x:c>
      <x:c r="J254" s="9" t="str">
        <x:v>True</x:v>
      </x:c>
      <x:c r="K254" s="9" t="str">
        <x:v>normal</x:v>
      </x:c>
      <x:c r="L254" t="str">
        <x:v>gemma4:e4b</x:v>
      </x:c>
    </x:row>
    <x:row r="255" ht="38" customHeight="1">
      <x:c r="A255" t="n">
        <x:v>1352</x:v>
      </x:c>
      <x:c r="B255" t="str">
        <x:v>1.2.826.0.1.3680043.8.498.17844546765907321649997094867791102711</x:v>
      </x:c>
      <x:c r="C255" t="str">
        <x:v>Turkish</x:v>
      </x:c>
      <x:c r="D255" t="str">
        <x:v>Lateral OA</x:v>
      </x:c>
      <x:c r="E255" s="21" t="n">
        <x:v>0</x:v>
      </x:c>
      <x:c r="F255" s="21"/>
      <x:c r="G255" s="21" t="str">
        <x:f>IF(COUNT(F255)=0,"판정없음",IF(E255=F255,"일치",E255&amp;"→"&amp;F255))</x:f>
        <x:v>판정없음</x:v>
      </x:c>
      <x:c r="H255" t="str">
        <x:v>not_mentioned</x:v>
      </x:c>
      <x:c r="I255" s="9" t="str"/>
      <x:c r="J255" s="9" t="str">
        <x:v>True</x:v>
      </x:c>
      <x:c r="K255" s="9" t="str"/>
      <x:c r="L255" t="str">
        <x:v>gemma4:e4b</x:v>
      </x:c>
    </x:row>
    <x:row r="256" ht="38" customHeight="1">
      <x:c r="A256" t="n">
        <x:v>1352</x:v>
      </x:c>
      <x:c r="B256" t="str">
        <x:v>1.2.826.0.1.3680043.8.498.17844546765907321649997094867791102711</x:v>
      </x:c>
      <x:c r="C256" t="str">
        <x:v>Turkish</x:v>
      </x:c>
      <x:c r="D256" t="str">
        <x:v>MCL</x:v>
      </x:c>
      <x:c r="E256" s="21" t="n">
        <x:v>0</x:v>
      </x:c>
      <x:c r="F256" s="21" t="n">
        <x:v>0</x:v>
      </x:c>
      <x:c r="G256" s="21" t="str">
        <x:f>IF(COUNT(F256)=0,"판정없음",IF(E256=F256,"일치",E256&amp;"→"&amp;F256))</x:f>
        <x:v>일치</x:v>
      </x:c>
      <x:c r="H256" t="str">
        <x:v>explicit_negative</x:v>
      </x:c>
      <x:c r="I256" s="9" t="str">
        <x:v>Posteriyor medyal köşe yapıları bunların dışında korunmuş</x:v>
      </x:c>
      <x:c r="J256" s="9" t="str">
        <x:v>True</x:v>
      </x:c>
      <x:c r="K256" s="9" t="str">
        <x:v>Posteriyor medyal köşe yapıları</x:v>
      </x:c>
      <x:c r="L256" t="str">
        <x:v>gemma4:e4b</x:v>
      </x:c>
    </x:row>
    <x:row r="257" ht="38" customHeight="1">
      <x:c r="A257" t="n">
        <x:v>1352</x:v>
      </x:c>
      <x:c r="B257" t="str">
        <x:v>1.2.826.0.1.3680043.8.498.17844546765907321649997094867791102711</x:v>
      </x:c>
      <x:c r="C257" t="str">
        <x:v>Turkish</x:v>
      </x:c>
      <x:c r="D257" t="str">
        <x:v>Medial Meniscus</x:v>
      </x:c>
      <x:c r="E257" s="21" t="n">
        <x:v>0</x:v>
      </x:c>
      <x:c r="F257" s="21" t="n">
        <x:v>0</x:v>
      </x:c>
      <x:c r="G257" s="21" t="str">
        <x:f>IF(COUNT(F257)=0,"판정없음",IF(E257=F257,"일치",E257&amp;"→"&amp;F257))</x:f>
        <x:v>일치</x:v>
      </x:c>
      <x:c r="H257" t="str">
        <x:v>explicit_negative</x:v>
      </x:c>
      <x:c r="I257" s="9" t="str">
        <x:v>Medyal menisküs ve lateral menisküs normal</x:v>
      </x:c>
      <x:c r="J257" s="9" t="str">
        <x:v>True</x:v>
      </x:c>
      <x:c r="K257" s="9" t="str">
        <x:v>normal</x:v>
      </x:c>
      <x:c r="L257" t="str">
        <x:v>gemma4:e4b</x:v>
      </x:c>
    </x:row>
    <x:row r="258" ht="38" customHeight="1">
      <x:c r="A258" t="n">
        <x:v>1352</x:v>
      </x:c>
      <x:c r="B258" t="str">
        <x:v>1.2.826.0.1.3680043.8.498.17844546765907321649997094867791102711</x:v>
      </x:c>
      <x:c r="C258" t="str">
        <x:v>Turkish</x:v>
      </x:c>
      <x:c r="D258" t="str">
        <x:v>Medial OA</x:v>
      </x:c>
      <x:c r="E258" s="21" t="n">
        <x:v>0</x:v>
      </x:c>
      <x:c r="F258" s="21"/>
      <x:c r="G258" s="21" t="str">
        <x:f>IF(COUNT(F258)=0,"판정없음",IF(E258=F258,"일치",E258&amp;"→"&amp;F258))</x:f>
        <x:v>판정없음</x:v>
      </x:c>
      <x:c r="H258" t="str">
        <x:v>not_mentioned</x:v>
      </x:c>
      <x:c r="I258" s="9" t="str"/>
      <x:c r="J258" s="9" t="str">
        <x:v>True</x:v>
      </x:c>
      <x:c r="K258" s="9" t="str"/>
      <x:c r="L258" t="str">
        <x:v>gemma4:e4b</x:v>
      </x:c>
    </x:row>
    <x:row r="259" ht="38" customHeight="1">
      <x:c r="A259" t="n">
        <x:v>1352</x:v>
      </x:c>
      <x:c r="B259" t="str">
        <x:v>1.2.826.0.1.3680043.8.498.17844546765907321649997094867791102711</x:v>
      </x:c>
      <x:c r="C259" t="str">
        <x:v>Turkish</x:v>
      </x:c>
      <x:c r="D259" t="str">
        <x:v>PF OA</x:v>
      </x:c>
      <x:c r="E259" s="21" t="n">
        <x:v>0</x:v>
      </x:c>
      <x:c r="F259" s="21"/>
      <x:c r="G259" s="21" t="str">
        <x:f>IF(COUNT(F259)=0,"판정없음",IF(E259=F259,"일치",E259&amp;"→"&amp;F259))</x:f>
        <x:v>판정없음</x:v>
      </x:c>
      <x:c r="H259" t="str">
        <x:v>not_mentioned</x:v>
      </x:c>
      <x:c r="I259" s="9" t="str"/>
      <x:c r="J259" s="9" t="str">
        <x:v>True</x:v>
      </x:c>
      <x:c r="K259" s="9" t="str"/>
      <x:c r="L259" t="str">
        <x:v>gemma4:e4b</x:v>
      </x:c>
    </x:row>
    <x:row r="260" ht="38" customHeight="1">
      <x:c r="A260" t="n">
        <x:v>1352</x:v>
      </x:c>
      <x:c r="B260" t="str">
        <x:v>1.2.826.0.1.3680043.8.498.17844546765907321649997094867791102711</x:v>
      </x:c>
      <x:c r="C260" t="str">
        <x:v>Turkish</x:v>
      </x:c>
      <x:c r="D260" t="str">
        <x:v>Synovitis</x:v>
      </x:c>
      <x:c r="E260" s="21" t="n">
        <x:v>0</x:v>
      </x:c>
      <x:c r="F260" s="21"/>
      <x:c r="G260" s="21" t="str">
        <x:f>IF(COUNT(F260)=0,"판정없음",IF(E260=F260,"일치",E260&amp;"→"&amp;F260))</x:f>
        <x:v>판정없음</x:v>
      </x:c>
      <x:c r="H260" t="str">
        <x:v>not_mentioned</x:v>
      </x:c>
      <x:c r="I260" s="9" t="str"/>
      <x:c r="J260" s="9" t="str">
        <x:v>True</x:v>
      </x:c>
      <x:c r="K260" s="9" t="str"/>
      <x:c r="L260" t="str">
        <x:v>gemma4:e4b</x:v>
      </x:c>
    </x:row>
    <x:row r="261" ht="38" customHeight="1">
      <x:c r="A261" t="n">
        <x:v>1373</x:v>
      </x:c>
      <x:c r="B261" t="str">
        <x:v>1.2.826.0.1.3680043.8.498.18392509497170616983977319528036573378</x:v>
      </x:c>
      <x:c r="C261" t="str">
        <x:v>Turkish</x:v>
      </x:c>
      <x:c r="D261" t="str">
        <x:v>ACL</x:v>
      </x:c>
      <x:c r="E261" s="21" t="n">
        <x:v>1</x:v>
      </x:c>
      <x:c r="F261" s="21" t="n">
        <x:v>1</x:v>
      </x:c>
      <x:c r="G261" s="21" t="str">
        <x:f>IF(COUNT(F261)=0,"판정없음",IF(E261=F261,"일치",E261&amp;"→"&amp;F261))</x:f>
        <x:v>일치</x:v>
      </x:c>
      <x:c r="H261" t="str">
        <x:v>explicit_positive</x:v>
      </x:c>
      <x:c r="I261" s="9" t="str">
        <x:v>Anterior çapraz bağda komplet rüptüre sekonder bütünlük kaybı izlenmiştir.</x:v>
      </x:c>
      <x:c r="J261" s="9" t="str">
        <x:v>True</x:v>
      </x:c>
      <x:c r="K261" s="9" t="str">
        <x:v>Anterior çapraz bağ komplet rüptürü</x:v>
      </x:c>
      <x:c r="L261" t="str">
        <x:v>gemma4:e4b</x:v>
      </x:c>
    </x:row>
    <x:row r="262" ht="38" customHeight="1">
      <x:c r="A262" t="n">
        <x:v>1373</x:v>
      </x:c>
      <x:c r="B262" t="str">
        <x:v>1.2.826.0.1.3680043.8.498.18392509497170616983977319528036573378</x:v>
      </x:c>
      <x:c r="C262" t="str">
        <x:v>Turkish</x:v>
      </x:c>
      <x:c r="D262" t="str">
        <x:v>Baker's</x:v>
      </x:c>
      <x:c r="E262" s="21" t="n">
        <x:v>0</x:v>
      </x:c>
      <x:c r="F262" s="21"/>
      <x:c r="G262" s="21" t="str">
        <x:f>IF(COUNT(F262)=0,"판정없음",IF(E262=F262,"일치",E262&amp;"→"&amp;F262))</x:f>
        <x:v>판정없음</x:v>
      </x:c>
      <x:c r="H262" t="str">
        <x:v>not_mentioned</x:v>
      </x:c>
      <x:c r="I262" s="9" t="str"/>
      <x:c r="J262" s="9" t="str">
        <x:v>True</x:v>
      </x:c>
      <x:c r="K262" s="9" t="str"/>
      <x:c r="L262" t="str">
        <x:v>gemma4:e4b</x:v>
      </x:c>
    </x:row>
    <x:row r="263" ht="38" customHeight="1">
      <x:c r="A263" t="n">
        <x:v>1373</x:v>
      </x:c>
      <x:c r="B263" t="str">
        <x:v>1.2.826.0.1.3680043.8.498.18392509497170616983977319528036573378</x:v>
      </x:c>
      <x:c r="C263" t="str">
        <x:v>Turkish</x:v>
      </x:c>
      <x:c r="D263" t="str">
        <x:v>Contusion</x:v>
      </x:c>
      <x:c r="E263" s="21" t="n">
        <x:v>1</x:v>
      </x:c>
      <x:c r="F263" s="21" t="n">
        <x:v>1</x:v>
      </x:c>
      <x:c r="G263" s="21" t="str">
        <x:f>IF(COUNT(F263)=0,"판정없음",IF(E263=F263,"일치",E263&amp;"→"&amp;F263))</x:f>
        <x:v>일치</x:v>
      </x:c>
      <x:c r="H263" t="str">
        <x:v>explicit_positive</x:v>
      </x:c>
      <x:c r="I263" s="9" t="str">
        <x:v>Tibia lateral plato posteriorunda fibula başında kontüzyonel kemik iliği ödemleri izlenmektedir.</x:v>
      </x:c>
      <x:c r="J263" s="9" t="str">
        <x:v>True</x:v>
      </x:c>
      <x:c r="K263" s="9" t="str">
        <x:v>femurda subartiküler fraktür</x:v>
      </x:c>
      <x:c r="L263" t="str">
        <x:v>gemma4:e4b</x:v>
      </x:c>
    </x:row>
    <x:row r="264" ht="38" customHeight="1">
      <x:c r="A264" t="n">
        <x:v>1373</x:v>
      </x:c>
      <x:c r="B264" t="str">
        <x:v>1.2.826.0.1.3680043.8.498.18392509497170616983977319528036573378</x:v>
      </x:c>
      <x:c r="C264" t="str">
        <x:v>Turkish</x:v>
      </x:c>
      <x:c r="D264" t="str">
        <x:v>Effusion</x:v>
      </x:c>
      <x:c r="E264" s="21" t="n">
        <x:v>1</x:v>
      </x:c>
      <x:c r="F264" s="21" t="n">
        <x:v>1</x:v>
      </x:c>
      <x:c r="G264" s="21" t="str">
        <x:f>IF(COUNT(F264)=0,"판정없음",IF(E264=F264,"일치",E264&amp;"→"&amp;F264))</x:f>
        <x:v>일치</x:v>
      </x:c>
      <x:c r="H264" t="str">
        <x:v>explicit_positive</x:v>
      </x:c>
      <x:c r="I264" s="9" t="str">
        <x:v>Suprapatellar bursa ve diz eklem mesafesinde sıvı artışı izlenmiştir.</x:v>
      </x:c>
      <x:c r="J264" s="9" t="str">
        <x:v>True</x:v>
      </x:c>
      <x:c r="K264" s="9" t="str">
        <x:v>diz ekleminde hafif sinovit</x:v>
      </x:c>
      <x:c r="L264" t="str">
        <x:v>gemma4:e4b</x:v>
      </x:c>
    </x:row>
    <x:row r="265" ht="38" customHeight="1">
      <x:c r="A265" t="n">
        <x:v>1373</x:v>
      </x:c>
      <x:c r="B265" t="str">
        <x:v>1.2.826.0.1.3680043.8.498.18392509497170616983977319528036573378</x:v>
      </x:c>
      <x:c r="C265" t="str">
        <x:v>Turkish</x:v>
      </x:c>
      <x:c r="D265" t="str">
        <x:v>Fracture</x:v>
      </x:c>
      <x:c r="E265" s="21" t="n">
        <x:v>1</x:v>
      </x:c>
      <x:c r="F265" s="21" t="n">
        <x:v>1</x:v>
      </x:c>
      <x:c r="G265" s="21" t="str">
        <x:f>IF(COUNT(F265)=0,"판정없음",IF(E265=F265,"일치",E265&amp;"→"&amp;F265))</x:f>
        <x:v>일치</x:v>
      </x:c>
      <x:c r="H265" t="str">
        <x:v>explicit_positive</x:v>
      </x:c>
      <x:c r="I265" s="9" t="str">
        <x:v>Femur lateral kondilde subartiküler nondeplase fraktür</x:v>
      </x:c>
      <x:c r="J265" s="9" t="str">
        <x:v>True</x:v>
      </x:c>
      <x:c r="K265" s="9" t="str">
        <x:v>femurda subartiküler fraktür</x:v>
      </x:c>
      <x:c r="L265" t="str">
        <x:v>gemma4:e4b</x:v>
      </x:c>
    </x:row>
    <x:row r="266" ht="38" customHeight="1">
      <x:c r="A266" t="n">
        <x:v>1373</x:v>
      </x:c>
      <x:c r="B266" t="str">
        <x:v>1.2.826.0.1.3680043.8.498.18392509497170616983977319528036573378</x:v>
      </x:c>
      <x:c r="C266" t="str">
        <x:v>Turkish</x:v>
      </x:c>
      <x:c r="D266" t="str">
        <x:v>Lateral Meniscus</x:v>
      </x:c>
      <x:c r="E266" s="21" t="n">
        <x:v>0</x:v>
      </x:c>
      <x:c r="F266" s="21"/>
      <x:c r="G266" s="21" t="str">
        <x:f>IF(COUNT(F266)=0,"판정없음",IF(E266=F266,"일치",E266&amp;"→"&amp;F266))</x:f>
        <x:v>판정없음</x:v>
      </x:c>
      <x:c r="H266" t="str">
        <x:v>uncertain_or_indirect</x:v>
      </x:c>
      <x:c r="I266" s="9" t="str">
        <x:v>Medial ve lateral menisküs posterior hornu ve gövde kesiminde grade II dejenerasyon izlenmiştir.</x:v>
      </x:c>
      <x:c r="J266" s="9" t="str">
        <x:v>True</x:v>
      </x:c>
      <x:c r="K266" s="9" t="str">
        <x:v>Medial ve lateral menisküs posterior hornu ve gövde kesiminde grade II dejenerasyon izlenmiştir.</x:v>
      </x:c>
      <x:c r="L266" t="str">
        <x:v>gemma4:e4b</x:v>
      </x:c>
    </x:row>
    <x:row r="267" ht="38" customHeight="1">
      <x:c r="A267" t="n">
        <x:v>1373</x:v>
      </x:c>
      <x:c r="B267" t="str">
        <x:v>1.2.826.0.1.3680043.8.498.18392509497170616983977319528036573378</x:v>
      </x:c>
      <x:c r="C267" t="str">
        <x:v>Turkish</x:v>
      </x:c>
      <x:c r="D267" t="str">
        <x:v>Lateral OA</x:v>
      </x:c>
      <x:c r="E267" s="21" t="n">
        <x:v>0</x:v>
      </x:c>
      <x:c r="F267" s="21"/>
      <x:c r="G267" s="21" t="str">
        <x:f>IF(COUNT(F267)=0,"판정없음",IF(E267=F267,"일치",E267&amp;"→"&amp;F267))</x:f>
        <x:v>판정없음</x:v>
      </x:c>
      <x:c r="H267" t="str">
        <x:v>not_mentioned</x:v>
      </x:c>
      <x:c r="I267" s="9" t="str"/>
      <x:c r="J267" s="9" t="str">
        <x:v>True</x:v>
      </x:c>
      <x:c r="K267" s="9" t="str"/>
      <x:c r="L267" t="str">
        <x:v>gemma4:e4b</x:v>
      </x:c>
    </x:row>
    <x:row r="268" ht="38" customHeight="1">
      <x:c r="A268" t="n">
        <x:v>1373</x:v>
      </x:c>
      <x:c r="B268" t="str">
        <x:v>1.2.826.0.1.3680043.8.498.18392509497170616983977319528036573378</x:v>
      </x:c>
      <x:c r="C268" t="str">
        <x:v>Turkish</x:v>
      </x:c>
      <x:c r="D268" t="str">
        <x:v>MCL</x:v>
      </x:c>
      <x:c r="E268" s="21" t="n">
        <x:v>0</x:v>
      </x:c>
      <x:c r="F268" s="21" t="n">
        <x:v>1</x:v>
      </x:c>
      <x:c r="G268" s="21" t="str">
        <x:f>IF(COUNT(F268)=0,"판정없음",IF(E268=F268,"일치",E268&amp;"→"&amp;F268))</x:f>
        <x:v>0→1</x:v>
      </x:c>
      <x:c r="H268" t="str">
        <x:v>explicit_positive</x:v>
      </x:c>
      <x:c r="I268" s="9" t="str">
        <x:v>Medial kollateral ligamanda grade I sprain.</x:v>
      </x:c>
      <x:c r="J268" s="9" t="str">
        <x:v>True</x:v>
      </x:c>
      <x:c r="K268" s="9" t="str">
        <x:v>Medial kollateral ligamanda grade I sprain</x:v>
      </x:c>
      <x:c r="L268" t="str">
        <x:v>gemma4:e4b</x:v>
      </x:c>
    </x:row>
    <x:row r="269" ht="38" customHeight="1">
      <x:c r="A269" t="n">
        <x:v>1373</x:v>
      </x:c>
      <x:c r="B269" t="str">
        <x:v>1.2.826.0.1.3680043.8.498.18392509497170616983977319528036573378</x:v>
      </x:c>
      <x:c r="C269" t="str">
        <x:v>Turkish</x:v>
      </x:c>
      <x:c r="D269" t="str">
        <x:v>Medial Meniscus</x:v>
      </x:c>
      <x:c r="E269" s="21" t="n">
        <x:v>1</x:v>
      </x:c>
      <x:c r="F269" s="21"/>
      <x:c r="G269" s="21" t="str">
        <x:f>IF(COUNT(F269)=0,"판정없음",IF(E269=F269,"일치",E269&amp;"→"&amp;F269))</x:f>
        <x:v>판정없음</x:v>
      </x:c>
      <x:c r="H269" t="str">
        <x:v>uncertain_or_indirect</x:v>
      </x:c>
      <x:c r="I269" s="9" t="str">
        <x:v>Medial ve lateral menisküs posterior hornu ve gövde kesiminde grade II dejenerasyon izlenmiştir.</x:v>
      </x:c>
      <x:c r="J269" s="9" t="str">
        <x:v>True</x:v>
      </x:c>
      <x:c r="K269" s="9" t="str">
        <x:v>Medial ve lateral menisküs posterior hornu ve gövde kesiminde grade II dejenerasyon izlenmiştir.</x:v>
      </x:c>
      <x:c r="L269" t="str">
        <x:v>gemma4:e4b</x:v>
      </x:c>
    </x:row>
    <x:row r="270" ht="38" customHeight="1">
      <x:c r="A270" t="n">
        <x:v>1373</x:v>
      </x:c>
      <x:c r="B270" t="str">
        <x:v>1.2.826.0.1.3680043.8.498.18392509497170616983977319528036573378</x:v>
      </x:c>
      <x:c r="C270" t="str">
        <x:v>Turkish</x:v>
      </x:c>
      <x:c r="D270" t="str">
        <x:v>Medial OA</x:v>
      </x:c>
      <x:c r="E270" s="21" t="n">
        <x:v>0</x:v>
      </x:c>
      <x:c r="F270" s="21"/>
      <x:c r="G270" s="21" t="str">
        <x:f>IF(COUNT(F270)=0,"판정없음",IF(E270=F270,"일치",E270&amp;"→"&amp;F270))</x:f>
        <x:v>판정없음</x:v>
      </x:c>
      <x:c r="H270" t="str">
        <x:v>not_mentioned</x:v>
      </x:c>
      <x:c r="I270" s="9" t="str"/>
      <x:c r="J270" s="9" t="str">
        <x:v>True</x:v>
      </x:c>
      <x:c r="K270" s="9" t="str"/>
      <x:c r="L270" t="str">
        <x:v>gemma4:e4b</x:v>
      </x:c>
    </x:row>
    <x:row r="271" ht="38" customHeight="1">
      <x:c r="A271" t="n">
        <x:v>1373</x:v>
      </x:c>
      <x:c r="B271" t="str">
        <x:v>1.2.826.0.1.3680043.8.498.18392509497170616983977319528036573378</x:v>
      </x:c>
      <x:c r="C271" t="str">
        <x:v>Turkish</x:v>
      </x:c>
      <x:c r="D271" t="str">
        <x:v>PF OA</x:v>
      </x:c>
      <x:c r="E271" s="21" t="n">
        <x:v>0</x:v>
      </x:c>
      <x:c r="F271" s="21"/>
      <x:c r="G271" s="21" t="str">
        <x:f>IF(COUNT(F271)=0,"판정없음",IF(E271=F271,"일치",E271&amp;"→"&amp;F271))</x:f>
        <x:v>판정없음</x:v>
      </x:c>
      <x:c r="H271" t="str">
        <x:v>not_mentioned</x:v>
      </x:c>
      <x:c r="I271" s="9" t="str"/>
      <x:c r="J271" s="9" t="str">
        <x:v>True</x:v>
      </x:c>
      <x:c r="K271" s="9" t="str"/>
      <x:c r="L271" t="str">
        <x:v>gemma4:e4b</x:v>
      </x:c>
    </x:row>
    <x:row r="272" ht="38" customHeight="1">
      <x:c r="A272" t="n">
        <x:v>1373</x:v>
      </x:c>
      <x:c r="B272" t="str">
        <x:v>1.2.826.0.1.3680043.8.498.18392509497170616983977319528036573378</x:v>
      </x:c>
      <x:c r="C272" t="str">
        <x:v>Turkish</x:v>
      </x:c>
      <x:c r="D272" t="str">
        <x:v>Synovitis</x:v>
      </x:c>
      <x:c r="E272" s="21" t="n">
        <x:v>1</x:v>
      </x:c>
      <x:c r="F272" s="21" t="n">
        <x:v>1</x:v>
      </x:c>
      <x:c r="G272" s="21" t="str">
        <x:f>IF(COUNT(F272)=0,"판정없음",IF(E272=F272,"일치",E272&amp;"→"&amp;F272))</x:f>
        <x:v>일치</x:v>
      </x:c>
      <x:c r="H272" t="str">
        <x:v>explicit_positive</x:v>
      </x:c>
      <x:c r="I272" s="9" t="str">
        <x:v>diz ekleminde hafif sinovit</x:v>
      </x:c>
      <x:c r="J272" s="9" t="str">
        <x:v>True</x:v>
      </x:c>
      <x:c r="K272" s="9" t="str">
        <x:v>diz ekleminde hafif sinovit</x:v>
      </x:c>
      <x:c r="L272" t="str">
        <x:v>gemma4:e4b</x:v>
      </x:c>
    </x:row>
    <x:row r="273" ht="38" customHeight="1">
      <x:c r="A273" t="n">
        <x:v>1505</x:v>
      </x:c>
      <x:c r="B273" t="str">
        <x:v>1.2.826.0.1.3680043.8.498.22109739962224309418874538994436903404</x:v>
      </x:c>
      <x:c r="C273" t="str">
        <x:v>English</x:v>
      </x:c>
      <x:c r="D273" t="str">
        <x:v>ACL</x:v>
      </x:c>
      <x:c r="E273" s="21" t="n">
        <x:v>0</x:v>
      </x:c>
      <x:c r="F273" s="21" t="n">
        <x:v>0</x:v>
      </x:c>
      <x:c r="G273" s="21" t="str">
        <x:f>IF(COUNT(F273)=0,"판정없음",IF(E273=F273,"일치",E273&amp;"→"&amp;F273))</x:f>
        <x:v>일치</x:v>
      </x:c>
      <x:c r="H273" t="str">
        <x:v>explicit_negative</x:v>
      </x:c>
      <x:c r="I273" s="9" t="str">
        <x:v>Normal with both bundles intact</x:v>
      </x:c>
      <x:c r="J273" s="9" t="str">
        <x:v>True</x:v>
      </x:c>
      <x:c r="K273" s="9" t="str"/>
      <x:c r="L273" t="str">
        <x:v>gemma4:e4b</x:v>
      </x:c>
    </x:row>
    <x:row r="274" ht="38" customHeight="1">
      <x:c r="A274" t="n">
        <x:v>1505</x:v>
      </x:c>
      <x:c r="B274" t="str">
        <x:v>1.2.826.0.1.3680043.8.498.22109739962224309418874538994436903404</x:v>
      </x:c>
      <x:c r="C274" t="str">
        <x:v>English</x:v>
      </x:c>
      <x:c r="D274" t="str">
        <x:v>Baker's</x:v>
      </x:c>
      <x:c r="E274" s="21" t="n">
        <x:v>1</x:v>
      </x:c>
      <x:c r="F274" s="21" t="n">
        <x:v>1</x:v>
      </x:c>
      <x:c r="G274" s="21" t="str">
        <x:f>IF(COUNT(F274)=0,"판정없음",IF(E274=F274,"일치",E274&amp;"→"&amp;F274))</x:f>
        <x:v>일치</x:v>
      </x:c>
      <x:c r="H274" t="str">
        <x:v>explicit_positive</x:v>
      </x:c>
      <x:c r="I274" s="9" t="str">
        <x:v>Moderate-sized Baker cyst with slight surrounding edema likely representing leakage</x:v>
      </x:c>
      <x:c r="J274" s="9" t="str">
        <x:v>True</x:v>
      </x:c>
      <x:c r="K274" s="9" t="str"/>
      <x:c r="L274" t="str">
        <x:v>gemma4:e4b</x:v>
      </x:c>
    </x:row>
    <x:row r="275" ht="38" customHeight="1">
      <x:c r="A275" t="n">
        <x:v>1505</x:v>
      </x:c>
      <x:c r="B275" t="str">
        <x:v>1.2.826.0.1.3680043.8.498.22109739962224309418874538994436903404</x:v>
      </x:c>
      <x:c r="C275" t="str">
        <x:v>English</x:v>
      </x:c>
      <x:c r="D275" t="str">
        <x:v>Contusion</x:v>
      </x:c>
      <x:c r="E275" s="21" t="n">
        <x:v>0</x:v>
      </x:c>
      <x:c r="F275" s="21" t="n">
        <x:v>0</x:v>
      </x:c>
      <x:c r="G275" s="21" t="str">
        <x:f>IF(COUNT(F275)=0,"판정없음",IF(E275=F275,"일치",E275&amp;"→"&amp;F275))</x:f>
        <x:v>일치</x:v>
      </x:c>
      <x:c r="H275" t="str">
        <x:v>explicit_negative</x:v>
      </x:c>
      <x:c r="I275" s="9" t="str">
        <x:v>No acute fracture or bone bruise</x:v>
      </x:c>
      <x:c r="J275" s="9" t="str">
        <x:v>True</x:v>
      </x:c>
      <x:c r="K275" s="9" t="str"/>
      <x:c r="L275" t="str">
        <x:v>gemma4:e4b</x:v>
      </x:c>
    </x:row>
    <x:row r="276" ht="38" customHeight="1">
      <x:c r="A276" t="n">
        <x:v>1505</x:v>
      </x:c>
      <x:c r="B276" t="str">
        <x:v>1.2.826.0.1.3680043.8.498.22109739962224309418874538994436903404</x:v>
      </x:c>
      <x:c r="C276" t="str">
        <x:v>English</x:v>
      </x:c>
      <x:c r="D276" t="str">
        <x:v>Effusion</x:v>
      </x:c>
      <x:c r="E276" s="21" t="n">
        <x:v>0</x:v>
      </x:c>
      <x:c r="F276" s="21" t="n">
        <x:v>1</x:v>
      </x:c>
      <x:c r="G276" s="21" t="str">
        <x:f>IF(COUNT(F276)=0,"판정없음",IF(E276=F276,"일치",E276&amp;"→"&amp;F276))</x:f>
        <x:v>0→1</x:v>
      </x:c>
      <x:c r="H276" t="str">
        <x:v>explicit_positive</x:v>
      </x:c>
      <x:c r="I276" s="9" t="str">
        <x:v>Small joint effusion</x:v>
      </x:c>
      <x:c r="J276" s="9" t="str">
        <x:v>True</x:v>
      </x:c>
      <x:c r="K276" s="9" t="str"/>
      <x:c r="L276" t="str">
        <x:v>gemma4:e4b</x:v>
      </x:c>
    </x:row>
    <x:row r="277" ht="38" customHeight="1">
      <x:c r="A277" t="n">
        <x:v>1505</x:v>
      </x:c>
      <x:c r="B277" t="str">
        <x:v>1.2.826.0.1.3680043.8.498.22109739962224309418874538994436903404</x:v>
      </x:c>
      <x:c r="C277" t="str">
        <x:v>English</x:v>
      </x:c>
      <x:c r="D277" t="str">
        <x:v>Fracture</x:v>
      </x:c>
      <x:c r="E277" s="21" t="n">
        <x:v>0</x:v>
      </x:c>
      <x:c r="F277" s="21" t="n">
        <x:v>0</x:v>
      </x:c>
      <x:c r="G277" s="21" t="str">
        <x:f>IF(COUNT(F277)=0,"판정없음",IF(E277=F277,"일치",E277&amp;"→"&amp;F277))</x:f>
        <x:v>일치</x:v>
      </x:c>
      <x:c r="H277" t="str">
        <x:v>explicit_negative</x:v>
      </x:c>
      <x:c r="I277" s="9" t="str">
        <x:v>No acute fracture or bone bruise</x:v>
      </x:c>
      <x:c r="J277" s="9" t="str">
        <x:v>True</x:v>
      </x:c>
      <x:c r="K277" s="9" t="str"/>
      <x:c r="L277" t="str">
        <x:v>gemma4:e4b</x:v>
      </x:c>
    </x:row>
    <x:row r="278" ht="38" customHeight="1">
      <x:c r="A278" t="n">
        <x:v>1505</x:v>
      </x:c>
      <x:c r="B278" t="str">
        <x:v>1.2.826.0.1.3680043.8.498.22109739962224309418874538994436903404</x:v>
      </x:c>
      <x:c r="C278" t="str">
        <x:v>English</x:v>
      </x:c>
      <x:c r="D278" t="str">
        <x:v>Lateral Meniscus</x:v>
      </x:c>
      <x:c r="E278" s="21" t="n">
        <x:v>1</x:v>
      </x:c>
      <x:c r="F278" s="21" t="n">
        <x:v>1</x:v>
      </x:c>
      <x:c r="G278" s="21" t="str">
        <x:f>IF(COUNT(F278)=0,"판정없음",IF(E278=F278,"일치",E278&amp;"→"&amp;F278))</x:f>
        <x:v>일치</x:v>
      </x:c>
      <x:c r="H278" t="str">
        <x:v>explicit_positive</x:v>
      </x:c>
      <x:c r="I278" s="9" t="str">
        <x:v>There is irregularity of the inner margin diffusely consistent with recurrent tear</x:v>
      </x:c>
      <x:c r="J278" s="9" t="str">
        <x:v>True</x:v>
      </x:c>
      <x:c r="K278" s="9" t="str">
        <x:v>recurrent tear</x:v>
      </x:c>
      <x:c r="L278" t="str">
        <x:v>gemma4:e4b</x:v>
      </x:c>
    </x:row>
    <x:row r="279" ht="38" customHeight="1">
      <x:c r="A279" t="n">
        <x:v>1505</x:v>
      </x:c>
      <x:c r="B279" t="str">
        <x:v>1.2.826.0.1.3680043.8.498.22109739962224309418874538994436903404</x:v>
      </x:c>
      <x:c r="C279" t="str">
        <x:v>English</x:v>
      </x:c>
      <x:c r="D279" t="str">
        <x:v>Lateral OA</x:v>
      </x:c>
      <x:c r="E279" s="21" t="n">
        <x:v>1</x:v>
      </x:c>
      <x:c r="F279" s="21" t="n">
        <x:v>1</x:v>
      </x:c>
      <x:c r="G279" s="21" t="str">
        <x:f>IF(COUNT(F279)=0,"판정없음",IF(E279=F279,"일치",E279&amp;"→"&amp;F279))</x:f>
        <x:v>일치</x:v>
      </x:c>
      <x:c r="H279" t="str">
        <x:v>explicit_positive</x:v>
      </x:c>
      <x:c r="I279" s="9" t="str">
        <x:v>Mild cartilage thinning and fissuring is present at the posterior and peripheral weightbearing aspect, with minimal degenerative subchondral bone marrow edema</x:v>
      </x:c>
      <x:c r="J279" s="9" t="str">
        <x:v>True</x:v>
      </x:c>
      <x:c r="K279" s="9" t="str">
        <x:v>chondrosis</x:v>
      </x:c>
      <x:c r="L279" t="str">
        <x:v>gemma4:e4b</x:v>
      </x:c>
    </x:row>
    <x:row r="280" ht="38" customHeight="1">
      <x:c r="A280" t="n">
        <x:v>1505</x:v>
      </x:c>
      <x:c r="B280" t="str">
        <x:v>1.2.826.0.1.3680043.8.498.22109739962224309418874538994436903404</x:v>
      </x:c>
      <x:c r="C280" t="str">
        <x:v>English</x:v>
      </x:c>
      <x:c r="D280" t="str">
        <x:v>MCL</x:v>
      </x:c>
      <x:c r="E280" s="21" t="n">
        <x:v>0</x:v>
      </x:c>
      <x:c r="F280" s="21" t="n">
        <x:v>0</x:v>
      </x:c>
      <x:c r="G280" s="21" t="str">
        <x:f>IF(COUNT(F280)=0,"판정없음",IF(E280=F280,"일치",E280&amp;"→"&amp;F280))</x:f>
        <x:v>일치</x:v>
      </x:c>
      <x:c r="H280" t="str">
        <x:v>explicit_negative</x:v>
      </x:c>
      <x:c r="I280" s="9" t="str">
        <x:v>Normal</x:v>
      </x:c>
      <x:c r="J280" s="9" t="str">
        <x:v>True</x:v>
      </x:c>
      <x:c r="K280" s="9" t="str"/>
      <x:c r="L280" t="str">
        <x:v>gemma4:e4b</x:v>
      </x:c>
    </x:row>
    <x:row r="281" ht="38" customHeight="1">
      <x:c r="A281" t="n">
        <x:v>1505</x:v>
      </x:c>
      <x:c r="B281" t="str">
        <x:v>1.2.826.0.1.3680043.8.498.22109739962224309418874538994436903404</x:v>
      </x:c>
      <x:c r="C281" t="str">
        <x:v>English</x:v>
      </x:c>
      <x:c r="D281" t="str">
        <x:v>Medial Meniscus</x:v>
      </x:c>
      <x:c r="E281" s="21" t="n">
        <x:v>0</x:v>
      </x:c>
      <x:c r="F281" s="21" t="n">
        <x:v>0</x:v>
      </x:c>
      <x:c r="G281" s="21" t="str">
        <x:f>IF(COUNT(F281)=0,"판정없음",IF(E281=F281,"일치",E281&amp;"→"&amp;F281))</x:f>
        <x:v>일치</x:v>
      </x:c>
      <x:c r="H281" t="str">
        <x:v>explicit_negative</x:v>
      </x:c>
      <x:c r="I281" s="9" t="str">
        <x:v>Normal in morphology and signal</x:v>
      </x:c>
      <x:c r="J281" s="9" t="str">
        <x:v>True</x:v>
      </x:c>
      <x:c r="K281" s="9" t="str"/>
      <x:c r="L281" t="str">
        <x:v>gemma4:e4b</x:v>
      </x:c>
    </x:row>
    <x:row r="282" ht="38" customHeight="1">
      <x:c r="A282" t="n">
        <x:v>1505</x:v>
      </x:c>
      <x:c r="B282" t="str">
        <x:v>1.2.826.0.1.3680043.8.498.22109739962224309418874538994436903404</x:v>
      </x:c>
      <x:c r="C282" t="str">
        <x:v>English</x:v>
      </x:c>
      <x:c r="D282" t="str">
        <x:v>Medial OA</x:v>
      </x:c>
      <x:c r="E282" s="21" t="n">
        <x:v>1</x:v>
      </x:c>
      <x:c r="F282" s="21"/>
      <x:c r="G282" s="21" t="str">
        <x:f>IF(COUNT(F282)=0,"판정없음",IF(E282=F282,"일치",E282&amp;"→"&amp;F282))</x:f>
        <x:v>판정없음</x:v>
      </x:c>
      <x:c r="H282" t="str">
        <x:v>not_mentioned</x:v>
      </x:c>
      <x:c r="I282" s="9" t="str"/>
      <x:c r="J282" s="9" t="str">
        <x:v>True</x:v>
      </x:c>
      <x:c r="K282" s="9" t="str"/>
      <x:c r="L282" t="str">
        <x:v>gemma4:e4b</x:v>
      </x:c>
    </x:row>
    <x:row r="283" ht="38" customHeight="1">
      <x:c r="A283" t="n">
        <x:v>1505</x:v>
      </x:c>
      <x:c r="B283" t="str">
        <x:v>1.2.826.0.1.3680043.8.498.22109739962224309418874538994436903404</x:v>
      </x:c>
      <x:c r="C283" t="str">
        <x:v>English</x:v>
      </x:c>
      <x:c r="D283" t="str">
        <x:v>PF OA</x:v>
      </x:c>
      <x:c r="E283" s="21" t="n">
        <x:v>0</x:v>
      </x:c>
      <x:c r="F283" s="21" t="n">
        <x:v>1</x:v>
      </x:c>
      <x:c r="G283" s="21" t="str">
        <x:f>IF(COUNT(F283)=0,"판정없음",IF(E283=F283,"일치",E283&amp;"→"&amp;F283))</x:f>
        <x:v>0→1</x:v>
      </x:c>
      <x:c r="H283" t="str">
        <x:v>explicit_positive</x:v>
      </x:c>
      <x:c r="I283" s="9" t="str">
        <x:v>There is mild cartilage thinning and surface irregularity at the patella and trochlea, medial greater than lateral</x:v>
      </x:c>
      <x:c r="J283" s="9" t="str">
        <x:v>True</x:v>
      </x:c>
      <x:c r="K283" s="9" t="str"/>
      <x:c r="L283" t="str">
        <x:v>gemma4:e4b</x:v>
      </x:c>
    </x:row>
    <x:row r="284" ht="38" customHeight="1">
      <x:c r="A284" t="n">
        <x:v>1505</x:v>
      </x:c>
      <x:c r="B284" t="str">
        <x:v>1.2.826.0.1.3680043.8.498.22109739962224309418874538994436903404</x:v>
      </x:c>
      <x:c r="C284" t="str">
        <x:v>English</x:v>
      </x:c>
      <x:c r="D284" t="str">
        <x:v>Synovitis</x:v>
      </x:c>
      <x:c r="E284" s="21" t="n">
        <x:v>0</x:v>
      </x:c>
      <x:c r="F284" s="21"/>
      <x:c r="G284" s="21" t="str">
        <x:f>IF(COUNT(F284)=0,"판정없음",IF(E284=F284,"일치",E284&amp;"→"&amp;F284))</x:f>
        <x:v>판정없음</x:v>
      </x:c>
      <x:c r="H284" t="str">
        <x:v>not_mentioned</x:v>
      </x:c>
      <x:c r="I284" s="9" t="str"/>
      <x:c r="J284" s="9" t="str">
        <x:v>True</x:v>
      </x:c>
      <x:c r="K284" s="9" t="str"/>
      <x:c r="L284" t="str">
        <x:v>gemma4:e4b</x:v>
      </x:c>
    </x:row>
    <x:row r="285" ht="38" customHeight="1">
      <x:c r="A285" t="n">
        <x:v>1635</x:v>
      </x:c>
      <x:c r="B285" t="str">
        <x:v>1.2.826.0.1.3680043.8.498.25695966186129395049687747156570466645</x:v>
      </x:c>
      <x:c r="C285" t="str">
        <x:v>Greek</x:v>
      </x:c>
      <x:c r="D285" t="str">
        <x:v>ACL</x:v>
      </x:c>
      <x:c r="E285" s="21" t="n">
        <x:v>0</x:v>
      </x:c>
      <x:c r="F285" s="21"/>
      <x:c r="G285" s="21" t="str">
        <x:f>IF(COUNT(F285)=0,"판정없음",IF(E285=F285,"일치",E285&amp;"→"&amp;F285))</x:f>
        <x:v>판정없음</x:v>
      </x:c>
      <x:c r="H285" t="str">
        <x:v>not_mentioned</x:v>
      </x:c>
      <x:c r="I285" s="9" t="str"/>
      <x:c r="J285" s="9" t="str">
        <x:v>True</x:v>
      </x:c>
      <x:c r="K285" s="9" t="str"/>
      <x:c r="L285" t="str">
        <x:v>gemma4:e4b</x:v>
      </x:c>
    </x:row>
    <x:row r="286" ht="38" customHeight="1">
      <x:c r="A286" t="n">
        <x:v>1635</x:v>
      </x:c>
      <x:c r="B286" t="str">
        <x:v>1.2.826.0.1.3680043.8.498.25695966186129395049687747156570466645</x:v>
      </x:c>
      <x:c r="C286" t="str">
        <x:v>Greek</x:v>
      </x:c>
      <x:c r="D286" t="str">
        <x:v>Baker's</x:v>
      </x:c>
      <x:c r="E286" s="21" t="n">
        <x:v>0</x:v>
      </x:c>
      <x:c r="F286" s="21" t="n">
        <x:v>1</x:v>
      </x:c>
      <x:c r="G286" s="21" t="str">
        <x:f>IF(COUNT(F286)=0,"판정없음",IF(E286=F286,"일치",E286&amp;"→"&amp;F286))</x:f>
        <x:v>0→1</x:v>
      </x:c>
      <x:c r="H286" t="str">
        <x:v>explicit_positive</x:v>
      </x:c>
      <x:c r="I286" s="9" t="str">
        <x:v>μικρή συνοβιακή κύστη Baker</x:v>
      </x:c>
      <x:c r="J286" s="9" t="str">
        <x:v>True</x:v>
      </x:c>
      <x:c r="K286" s="9" t="str"/>
      <x:c r="L286" t="str">
        <x:v>gemma4:e4b</x:v>
      </x:c>
    </x:row>
    <x:row r="287" ht="38" customHeight="1">
      <x:c r="A287" t="n">
        <x:v>1635</x:v>
      </x:c>
      <x:c r="B287" t="str">
        <x:v>1.2.826.0.1.3680043.8.498.25695966186129395049687747156570466645</x:v>
      </x:c>
      <x:c r="C287" t="str">
        <x:v>Greek</x:v>
      </x:c>
      <x:c r="D287" t="str">
        <x:v>Contusion</x:v>
      </x:c>
      <x:c r="E287" s="21" t="n">
        <x:v>0</x:v>
      </x:c>
      <x:c r="F287" s="21"/>
      <x:c r="G287" s="21" t="str">
        <x:f>IF(COUNT(F287)=0,"판정없음",IF(E287=F287,"일치",E287&amp;"→"&amp;F287))</x:f>
        <x:v>판정없음</x:v>
      </x:c>
      <x:c r="H287" t="str">
        <x:v>not_mentioned</x:v>
      </x:c>
      <x:c r="I287" s="9" t="str"/>
      <x:c r="J287" s="9" t="str">
        <x:v>True</x:v>
      </x:c>
      <x:c r="K287" s="9" t="str"/>
      <x:c r="L287" t="str">
        <x:v>gemma4:e4b</x:v>
      </x:c>
    </x:row>
    <x:row r="288" ht="38" customHeight="1">
      <x:c r="A288" t="n">
        <x:v>1635</x:v>
      </x:c>
      <x:c r="B288" t="str">
        <x:v>1.2.826.0.1.3680043.8.498.25695966186129395049687747156570466645</x:v>
      </x:c>
      <x:c r="C288" t="str">
        <x:v>Greek</x:v>
      </x:c>
      <x:c r="D288" t="str">
        <x:v>Effusion</x:v>
      </x:c>
      <x:c r="E288" s="21" t="n">
        <x:v>1</x:v>
      </x:c>
      <x:c r="F288" s="21" t="n">
        <x:v>1</x:v>
      </x:c>
      <x:c r="G288" s="21" t="str">
        <x:f>IF(COUNT(F288)=0,"판정없음",IF(E288=F288,"일치",E288&amp;"→"&amp;F288))</x:f>
        <x:v>일치</x:v>
      </x:c>
      <x:c r="H288" t="str">
        <x:v>explicit_positive</x:v>
      </x:c>
      <x:c r="I288" s="9" t="str">
        <x:v>Συλλογή υγρού παρατηρείται ενδαρθρικά</x:v>
      </x:c>
      <x:c r="J288" s="9" t="str">
        <x:v>True</x:v>
      </x:c>
      <x:c r="K288" s="9" t="str"/>
      <x:c r="L288" t="str">
        <x:v>gemma4:e4b</x:v>
      </x:c>
    </x:row>
    <x:row r="289" ht="38" customHeight="1">
      <x:c r="A289" t="n">
        <x:v>1635</x:v>
      </x:c>
      <x:c r="B289" t="str">
        <x:v>1.2.826.0.1.3680043.8.498.25695966186129395049687747156570466645</x:v>
      </x:c>
      <x:c r="C289" t="str">
        <x:v>Greek</x:v>
      </x:c>
      <x:c r="D289" t="str">
        <x:v>Fracture</x:v>
      </x:c>
      <x:c r="E289" s="21" t="n">
        <x:v>0</x:v>
      </x:c>
      <x:c r="F289" s="21"/>
      <x:c r="G289" s="21" t="str">
        <x:f>IF(COUNT(F289)=0,"판정없음",IF(E289=F289,"일치",E289&amp;"→"&amp;F289))</x:f>
        <x:v>판정없음</x:v>
      </x:c>
      <x:c r="H289" t="str">
        <x:v>not_mentioned</x:v>
      </x:c>
      <x:c r="I289" s="9" t="str"/>
      <x:c r="J289" s="9" t="str">
        <x:v>True</x:v>
      </x:c>
      <x:c r="K289" s="9" t="str"/>
      <x:c r="L289" t="str">
        <x:v>gemma4:e4b</x:v>
      </x:c>
    </x:row>
    <x:row r="290" ht="38" customHeight="1">
      <x:c r="A290" t="n">
        <x:v>1635</x:v>
      </x:c>
      <x:c r="B290" t="str">
        <x:v>1.2.826.0.1.3680043.8.498.25695966186129395049687747156570466645</x:v>
      </x:c>
      <x:c r="C290" t="str">
        <x:v>Greek</x:v>
      </x:c>
      <x:c r="D290" t="str">
        <x:v>Lateral Meniscus</x:v>
      </x:c>
      <x:c r="E290" s="21" t="n">
        <x:v>1</x:v>
      </x:c>
      <x:c r="F290" s="21" t="n">
        <x:v>1</x:v>
      </x:c>
      <x:c r="G290" s="21" t="str">
        <x:f>IF(COUNT(F290)=0,"판정없음",IF(E290=F290,"일치",E290&amp;"→"&amp;F290))</x:f>
        <x:v>일치</x:v>
      </x:c>
      <x:c r="H290" t="str">
        <x:v>explicit_positive</x:v>
      </x:c>
      <x:c r="I290" s="9" t="str">
        <x:v>Απλή εκφύλιση παρατηρείται στον έξω µηνίσκο.</x:v>
      </x:c>
      <x:c r="J290" s="9" t="str">
        <x:v>True</x:v>
      </x:c>
      <x:c r="K290" s="9" t="str">
        <x:v>lateral meniscus</x:v>
      </x:c>
      <x:c r="L290" t="str">
        <x:v>gemma4:e4b</x:v>
      </x:c>
    </x:row>
    <x:row r="291" ht="38" customHeight="1">
      <x:c r="A291" t="n">
        <x:v>1635</x:v>
      </x:c>
      <x:c r="B291" t="str">
        <x:v>1.2.826.0.1.3680043.8.498.25695966186129395049687747156570466645</x:v>
      </x:c>
      <x:c r="C291" t="str">
        <x:v>Greek</x:v>
      </x:c>
      <x:c r="D291" t="str">
        <x:v>Lateral OA</x:v>
      </x:c>
      <x:c r="E291" s="21" t="n">
        <x:v>0</x:v>
      </x:c>
      <x:c r="F291" s="21"/>
      <x:c r="G291" s="21" t="str">
        <x:f>IF(COUNT(F291)=0,"판정없음",IF(E291=F291,"일치",E291&amp;"→"&amp;F291))</x:f>
        <x:v>판정없음</x:v>
      </x:c>
      <x:c r="H291" t="str">
        <x:v>not_mentioned</x:v>
      </x:c>
      <x:c r="I291" s="9" t="str"/>
      <x:c r="J291" s="9" t="str">
        <x:v>True</x:v>
      </x:c>
      <x:c r="K291" s="9" t="str"/>
      <x:c r="L291" t="str">
        <x:v>gemma4:e4b</x:v>
      </x:c>
    </x:row>
    <x:row r="292" ht="38" customHeight="1">
      <x:c r="A292" t="n">
        <x:v>1635</x:v>
      </x:c>
      <x:c r="B292" t="str">
        <x:v>1.2.826.0.1.3680043.8.498.25695966186129395049687747156570466645</x:v>
      </x:c>
      <x:c r="C292" t="str">
        <x:v>Greek</x:v>
      </x:c>
      <x:c r="D292" t="str">
        <x:v>MCL</x:v>
      </x:c>
      <x:c r="E292" s="21" t="n">
        <x:v>0</x:v>
      </x:c>
      <x:c r="F292" s="21"/>
      <x:c r="G292" s="21" t="str">
        <x:f>IF(COUNT(F292)=0,"판정없음",IF(E292=F292,"일치",E292&amp;"→"&amp;F292))</x:f>
        <x:v>판정없음</x:v>
      </x:c>
      <x:c r="H292" t="str">
        <x:v>not_mentioned</x:v>
      </x:c>
      <x:c r="I292" s="9" t="str"/>
      <x:c r="J292" s="9" t="str">
        <x:v>True</x:v>
      </x:c>
      <x:c r="K292" s="9" t="str"/>
      <x:c r="L292" t="str">
        <x:v>gemma4:e4b</x:v>
      </x:c>
    </x:row>
    <x:row r="293" ht="38" customHeight="1">
      <x:c r="A293" t="n">
        <x:v>1635</x:v>
      </x:c>
      <x:c r="B293" t="str">
        <x:v>1.2.826.0.1.3680043.8.498.25695966186129395049687747156570466645</x:v>
      </x:c>
      <x:c r="C293" t="str">
        <x:v>Greek</x:v>
      </x:c>
      <x:c r="D293" t="str">
        <x:v>Medial Meniscus</x:v>
      </x:c>
      <x:c r="E293" s="21" t="n">
        <x:v>1</x:v>
      </x:c>
      <x:c r="F293" s="21"/>
      <x:c r="G293" s="21" t="str">
        <x:f>IF(COUNT(F293)=0,"판정없음",IF(E293=F293,"일치",E293&amp;"→"&amp;F293))</x:f>
        <x:v>판정없음</x:v>
      </x:c>
      <x:c r="H293" t="str">
        <x:v>not_mentioned</x:v>
      </x:c>
      <x:c r="I293" s="9" t="str"/>
      <x:c r="J293" s="9" t="str">
        <x:v>True</x:v>
      </x:c>
      <x:c r="K293" s="9" t="str"/>
      <x:c r="L293" t="str">
        <x:v>gemma4:e4b</x:v>
      </x:c>
    </x:row>
    <x:row r="294" ht="38" customHeight="1">
      <x:c r="A294" t="n">
        <x:v>1635</x:v>
      </x:c>
      <x:c r="B294" t="str">
        <x:v>1.2.826.0.1.3680043.8.498.25695966186129395049687747156570466645</x:v>
      </x:c>
      <x:c r="C294" t="str">
        <x:v>Greek</x:v>
      </x:c>
      <x:c r="D294" t="str">
        <x:v>Medial OA</x:v>
      </x:c>
      <x:c r="E294" s="21" t="n">
        <x:v>1</x:v>
      </x:c>
      <x:c r="F294" s="21" t="n">
        <x:v>1</x:v>
      </x:c>
      <x:c r="G294" s="21" t="str">
        <x:f>IF(COUNT(F294)=0,"판정없음",IF(E294=F294,"일치",E294&amp;"→"&amp;F294))</x:f>
        <x:v>일치</x:v>
      </x:c>
      <x:c r="H294" t="str">
        <x:v>explicit_positive</x:v>
      </x:c>
      <x:c r="I294" s="9" t="str">
        <x:v>Ευρήµατα αρχόµενης εκφυλιστικής οστεοαρθρίτιδας κατά το έσω διαµέρισμα.</x:v>
      </x:c>
      <x:c r="J294" s="9" t="str">
        <x:v>True</x:v>
      </x:c>
      <x:c r="K294" s="9" t="str">
        <x:v>medial tibiofemoral compartment</x:v>
      </x:c>
      <x:c r="L294" t="str">
        <x:v>gemma4:e4b</x:v>
      </x:c>
    </x:row>
    <x:row r="295" ht="38" customHeight="1">
      <x:c r="A295" t="n">
        <x:v>1635</x:v>
      </x:c>
      <x:c r="B295" t="str">
        <x:v>1.2.826.0.1.3680043.8.498.25695966186129395049687747156570466645</x:v>
      </x:c>
      <x:c r="C295" t="str">
        <x:v>Greek</x:v>
      </x:c>
      <x:c r="D295" t="str">
        <x:v>PF OA</x:v>
      </x:c>
      <x:c r="E295" s="21" t="n">
        <x:v>0</x:v>
      </x:c>
      <x:c r="F295" s="21"/>
      <x:c r="G295" s="21" t="str">
        <x:f>IF(COUNT(F295)=0,"판정없음",IF(E295=F295,"일치",E295&amp;"→"&amp;F295))</x:f>
        <x:v>판정없음</x:v>
      </x:c>
      <x:c r="H295" t="str">
        <x:v>not_mentioned</x:v>
      </x:c>
      <x:c r="I295" s="9" t="str"/>
      <x:c r="J295" s="9" t="str">
        <x:v>True</x:v>
      </x:c>
      <x:c r="K295" s="9" t="str"/>
      <x:c r="L295" t="str">
        <x:v>gemma4:e4b</x:v>
      </x:c>
    </x:row>
    <x:row r="296" ht="38" customHeight="1">
      <x:c r="A296" t="n">
        <x:v>1635</x:v>
      </x:c>
      <x:c r="B296" t="str">
        <x:v>1.2.826.0.1.3680043.8.498.25695966186129395049687747156570466645</x:v>
      </x:c>
      <x:c r="C296" t="str">
        <x:v>Greek</x:v>
      </x:c>
      <x:c r="D296" t="str">
        <x:v>Synovitis</x:v>
      </x:c>
      <x:c r="E296" s="21" t="n">
        <x:v>1</x:v>
      </x:c>
      <x:c r="F296" s="21"/>
      <x:c r="G296" s="21" t="str">
        <x:f>IF(COUNT(F296)=0,"판정없음",IF(E296=F296,"일치",E296&amp;"→"&amp;F296))</x:f>
        <x:v>판정없음</x:v>
      </x:c>
      <x:c r="H296" t="str">
        <x:v>uncertain_or_indirect</x:v>
      </x:c>
      <x:c r="I296" s="9" t="str">
        <x:v>ήπια υµενίτιδας</x:v>
      </x:c>
      <x:c r="J296" s="9" t="str">
        <x:v>False</x:v>
      </x:c>
      <x:c r="K296" s="9" t="str"/>
      <x:c r="L296" t="str">
        <x:v>gemma4:e4b</x:v>
      </x:c>
    </x:row>
    <x:row r="297" ht="38" customHeight="1">
      <x:c r="A297" t="n">
        <x:v>1676</x:v>
      </x:c>
      <x:c r="B297" t="str">
        <x:v>1.2.826.0.1.3680043.8.498.26790702379506190936834447203448882465</x:v>
      </x:c>
      <x:c r="C297" t="str">
        <x:v>English</x:v>
      </x:c>
      <x:c r="D297" t="str">
        <x:v>ACL</x:v>
      </x:c>
      <x:c r="E297" s="21" t="n">
        <x:v>1</x:v>
      </x:c>
      <x:c r="F297" s="21" t="n">
        <x:v>1</x:v>
      </x:c>
      <x:c r="G297" s="21" t="str">
        <x:f>IF(COUNT(F297)=0,"판정없음",IF(E297=F297,"일치",E297&amp;"→"&amp;F297))</x:f>
        <x:v>일치</x:v>
      </x:c>
      <x:c r="H297" t="str">
        <x:v>explicit_positive</x:v>
      </x:c>
      <x:c r="I297" s="9" t="str">
        <x:v>ACL is ruptured in its mid substance</x:v>
      </x:c>
      <x:c r="J297" s="9" t="str">
        <x:v>True</x:v>
      </x:c>
      <x:c r="K297" s="9" t="str"/>
      <x:c r="L297" t="str">
        <x:v>gemma4:e4b</x:v>
      </x:c>
    </x:row>
    <x:row r="298" ht="38" customHeight="1">
      <x:c r="A298" t="n">
        <x:v>1676</x:v>
      </x:c>
      <x:c r="B298" t="str">
        <x:v>1.2.826.0.1.3680043.8.498.26790702379506190936834447203448882465</x:v>
      </x:c>
      <x:c r="C298" t="str">
        <x:v>English</x:v>
      </x:c>
      <x:c r="D298" t="str">
        <x:v>Baker's</x:v>
      </x:c>
      <x:c r="E298" s="21" t="n">
        <x:v>0</x:v>
      </x:c>
      <x:c r="F298" s="21"/>
      <x:c r="G298" s="21" t="str">
        <x:f>IF(COUNT(F298)=0,"판정없음",IF(E298=F298,"일치",E298&amp;"→"&amp;F298))</x:f>
        <x:v>판정없음</x:v>
      </x:c>
      <x:c r="H298" t="str">
        <x:v>not_mentioned</x:v>
      </x:c>
      <x:c r="I298" s="9" t="str"/>
      <x:c r="J298" s="9" t="str">
        <x:v>True</x:v>
      </x:c>
      <x:c r="K298" s="9" t="str"/>
      <x:c r="L298" t="str">
        <x:v>gemma4:e4b</x:v>
      </x:c>
    </x:row>
    <x:row r="299" ht="38" customHeight="1">
      <x:c r="A299" t="n">
        <x:v>1676</x:v>
      </x:c>
      <x:c r="B299" t="str">
        <x:v>1.2.826.0.1.3680043.8.498.26790702379506190936834447203448882465</x:v>
      </x:c>
      <x:c r="C299" t="str">
        <x:v>English</x:v>
      </x:c>
      <x:c r="D299" t="str">
        <x:v>Contusion</x:v>
      </x:c>
      <x:c r="E299" s="21" t="n">
        <x:v>1</x:v>
      </x:c>
      <x:c r="F299" s="21" t="n">
        <x:v>1</x:v>
      </x:c>
      <x:c r="G299" s="21" t="str">
        <x:f>IF(COUNT(F299)=0,"판정없음",IF(E299=F299,"일치",E299&amp;"→"&amp;F299))</x:f>
        <x:v>일치</x:v>
      </x:c>
      <x:c r="H299" t="str">
        <x:v>explicit_positive</x:v>
      </x:c>
      <x:c r="I299" s="9" t="str">
        <x:v>mild residual bone contusion in the weightbearing aspect of the lateral femoral condyle and posterior aspect of the lateral tibial condyle</x:v>
      </x:c>
      <x:c r="J299" s="9" t="str">
        <x:v>True</x:v>
      </x:c>
      <x:c r="K299" s="9" t="str">
        <x:v>bone contusion</x:v>
      </x:c>
      <x:c r="L299" t="str">
        <x:v>gemma4:e4b</x:v>
      </x:c>
    </x:row>
    <x:row r="300" ht="38" customHeight="1">
      <x:c r="A300" t="n">
        <x:v>1676</x:v>
      </x:c>
      <x:c r="B300" t="str">
        <x:v>1.2.826.0.1.3680043.8.498.26790702379506190936834447203448882465</x:v>
      </x:c>
      <x:c r="C300" t="str">
        <x:v>English</x:v>
      </x:c>
      <x:c r="D300" t="str">
        <x:v>Effusion</x:v>
      </x:c>
      <x:c r="E300" s="21" t="n">
        <x:v>0</x:v>
      </x:c>
      <x:c r="F300" s="21" t="n">
        <x:v>1</x:v>
      </x:c>
      <x:c r="G300" s="21" t="str">
        <x:f>IF(COUNT(F300)=0,"판정없음",IF(E300=F300,"일치",E300&amp;"→"&amp;F300))</x:f>
        <x:v>0→1</x:v>
      </x:c>
      <x:c r="H300" t="str">
        <x:v>explicit_positive</x:v>
      </x:c>
      <x:c r="I300" s="9" t="str">
        <x:v>mild knee effusion</x:v>
      </x:c>
      <x:c r="J300" s="9" t="str">
        <x:v>True</x:v>
      </x:c>
      <x:c r="K300" s="9" t="str"/>
      <x:c r="L300" t="str">
        <x:v>gemma4:e4b</x:v>
      </x:c>
    </x:row>
    <x:row r="301" ht="38" customHeight="1">
      <x:c r="A301" t="n">
        <x:v>1676</x:v>
      </x:c>
      <x:c r="B301" t="str">
        <x:v>1.2.826.0.1.3680043.8.498.26790702379506190936834447203448882465</x:v>
      </x:c>
      <x:c r="C301" t="str">
        <x:v>English</x:v>
      </x:c>
      <x:c r="D301" t="str">
        <x:v>Fracture</x:v>
      </x:c>
      <x:c r="E301" s="21" t="n">
        <x:v>0</x:v>
      </x:c>
      <x:c r="F301" s="21"/>
      <x:c r="G301" s="21" t="str">
        <x:f>IF(COUNT(F301)=0,"판정없음",IF(E301=F301,"일치",E301&amp;"→"&amp;F301))</x:f>
        <x:v>판정없음</x:v>
      </x:c>
      <x:c r="H301" t="str">
        <x:v>not_mentioned</x:v>
      </x:c>
      <x:c r="I301" s="9" t="str"/>
      <x:c r="J301" s="9" t="str">
        <x:v>True</x:v>
      </x:c>
      <x:c r="K301" s="9" t="str"/>
      <x:c r="L301" t="str">
        <x:v>gemma4:e4b</x:v>
      </x:c>
    </x:row>
    <x:row r="302" ht="38" customHeight="1">
      <x:c r="A302" t="n">
        <x:v>1676</x:v>
      </x:c>
      <x:c r="B302" t="str">
        <x:v>1.2.826.0.1.3680043.8.498.26790702379506190936834447203448882465</x:v>
      </x:c>
      <x:c r="C302" t="str">
        <x:v>English</x:v>
      </x:c>
      <x:c r="D302" t="str">
        <x:v>Lateral Meniscus</x:v>
      </x:c>
      <x:c r="E302" s="21" t="n">
        <x:v>0</x:v>
      </x:c>
      <x:c r="F302" s="21" t="n">
        <x:v>0</x:v>
      </x:c>
      <x:c r="G302" s="21" t="str">
        <x:f>IF(COUNT(F302)=0,"판정없음",IF(E302=F302,"일치",E302&amp;"→"&amp;F302))</x:f>
        <x:v>일치</x:v>
      </x:c>
      <x:c r="H302" t="str">
        <x:v>explicit_negative</x:v>
      </x:c>
      <x:c r="I302" s="9" t="str">
        <x:v>Normal medial and lateral menisci. No evidence of tears.</x:v>
      </x:c>
      <x:c r="J302" s="9" t="str">
        <x:v>True</x:v>
      </x:c>
      <x:c r="K302" s="9" t="str"/>
      <x:c r="L302" t="str">
        <x:v>gemma4:e4b</x:v>
      </x:c>
    </x:row>
    <x:row r="303" ht="38" customHeight="1">
      <x:c r="A303" t="n">
        <x:v>1676</x:v>
      </x:c>
      <x:c r="B303" t="str">
        <x:v>1.2.826.0.1.3680043.8.498.26790702379506190936834447203448882465</x:v>
      </x:c>
      <x:c r="C303" t="str">
        <x:v>English</x:v>
      </x:c>
      <x:c r="D303" t="str">
        <x:v>Lateral OA</x:v>
      </x:c>
      <x:c r="E303" s="21" t="n">
        <x:v>0</x:v>
      </x:c>
      <x:c r="F303" s="21"/>
      <x:c r="G303" s="21" t="str">
        <x:f>IF(COUNT(F303)=0,"판정없음",IF(E303=F303,"일치",E303&amp;"→"&amp;F303))</x:f>
        <x:v>판정없음</x:v>
      </x:c>
      <x:c r="H303" t="str">
        <x:v>not_mentioned</x:v>
      </x:c>
      <x:c r="I303" s="9" t="str"/>
      <x:c r="J303" s="9" t="str">
        <x:v>True</x:v>
      </x:c>
      <x:c r="K303" s="9" t="str"/>
      <x:c r="L303" t="str">
        <x:v>gemma4:e4b</x:v>
      </x:c>
    </x:row>
    <x:row r="304" ht="38" customHeight="1">
      <x:c r="A304" t="n">
        <x:v>1676</x:v>
      </x:c>
      <x:c r="B304" t="str">
        <x:v>1.2.826.0.1.3680043.8.498.26790702379506190936834447203448882465</x:v>
      </x:c>
      <x:c r="C304" t="str">
        <x:v>English</x:v>
      </x:c>
      <x:c r="D304" t="str">
        <x:v>MCL</x:v>
      </x:c>
      <x:c r="E304" s="21" t="n">
        <x:v>0</x:v>
      </x:c>
      <x:c r="F304" s="21" t="n">
        <x:v>0</x:v>
      </x:c>
      <x:c r="G304" s="21" t="str">
        <x:f>IF(COUNT(F304)=0,"판정없음",IF(E304=F304,"일치",E304&amp;"→"&amp;F304))</x:f>
        <x:v>일치</x:v>
      </x:c>
      <x:c r="H304" t="str">
        <x:v>explicit_negative</x:v>
      </x:c>
      <x:c r="I304" s="9" t="str">
        <x:v>Normal PCL, MCL and LCL</x:v>
      </x:c>
      <x:c r="J304" s="9" t="str">
        <x:v>True</x:v>
      </x:c>
      <x:c r="K304" s="9" t="str"/>
      <x:c r="L304" t="str">
        <x:v>gemma4:e4b</x:v>
      </x:c>
    </x:row>
    <x:row r="305" ht="38" customHeight="1">
      <x:c r="A305" t="n">
        <x:v>1676</x:v>
      </x:c>
      <x:c r="B305" t="str">
        <x:v>1.2.826.0.1.3680043.8.498.26790702379506190936834447203448882465</x:v>
      </x:c>
      <x:c r="C305" t="str">
        <x:v>English</x:v>
      </x:c>
      <x:c r="D305" t="str">
        <x:v>Medial Meniscus</x:v>
      </x:c>
      <x:c r="E305" s="21" t="n">
        <x:v>0</x:v>
      </x:c>
      <x:c r="F305" s="21" t="n">
        <x:v>0</x:v>
      </x:c>
      <x:c r="G305" s="21" t="str">
        <x:f>IF(COUNT(F305)=0,"판정없음",IF(E305=F305,"일치",E305&amp;"→"&amp;F305))</x:f>
        <x:v>일치</x:v>
      </x:c>
      <x:c r="H305" t="str">
        <x:v>explicit_negative</x:v>
      </x:c>
      <x:c r="I305" s="9" t="str">
        <x:v>Normal medial and lateral menisci. No evidence of tears.</x:v>
      </x:c>
      <x:c r="J305" s="9" t="str">
        <x:v>True</x:v>
      </x:c>
      <x:c r="K305" s="9" t="str"/>
      <x:c r="L305" t="str">
        <x:v>gemma4:e4b</x:v>
      </x:c>
    </x:row>
    <x:row r="306" ht="38" customHeight="1">
      <x:c r="A306" t="n">
        <x:v>1676</x:v>
      </x:c>
      <x:c r="B306" t="str">
        <x:v>1.2.826.0.1.3680043.8.498.26790702379506190936834447203448882465</x:v>
      </x:c>
      <x:c r="C306" t="str">
        <x:v>English</x:v>
      </x:c>
      <x:c r="D306" t="str">
        <x:v>Medial OA</x:v>
      </x:c>
      <x:c r="E306" s="21" t="n">
        <x:v>0</x:v>
      </x:c>
      <x:c r="F306" s="21"/>
      <x:c r="G306" s="21" t="str">
        <x:f>IF(COUNT(F306)=0,"판정없음",IF(E306=F306,"일치",E306&amp;"→"&amp;F306))</x:f>
        <x:v>판정없음</x:v>
      </x:c>
      <x:c r="H306" t="str">
        <x:v>not_mentioned</x:v>
      </x:c>
      <x:c r="I306" s="9" t="str"/>
      <x:c r="J306" s="9" t="str">
        <x:v>True</x:v>
      </x:c>
      <x:c r="K306" s="9" t="str"/>
      <x:c r="L306" t="str">
        <x:v>gemma4:e4b</x:v>
      </x:c>
    </x:row>
    <x:row r="307" ht="38" customHeight="1">
      <x:c r="A307" t="n">
        <x:v>1676</x:v>
      </x:c>
      <x:c r="B307" t="str">
        <x:v>1.2.826.0.1.3680043.8.498.26790702379506190936834447203448882465</x:v>
      </x:c>
      <x:c r="C307" t="str">
        <x:v>English</x:v>
      </x:c>
      <x:c r="D307" t="str">
        <x:v>PF OA</x:v>
      </x:c>
      <x:c r="E307" s="21" t="n">
        <x:v>0</x:v>
      </x:c>
      <x:c r="F307" s="21"/>
      <x:c r="G307" s="21" t="str">
        <x:f>IF(COUNT(F307)=0,"판정없음",IF(E307=F307,"일치",E307&amp;"→"&amp;F307))</x:f>
        <x:v>판정없음</x:v>
      </x:c>
      <x:c r="H307" t="str">
        <x:v>not_mentioned</x:v>
      </x:c>
      <x:c r="I307" s="9" t="str"/>
      <x:c r="J307" s="9" t="str">
        <x:v>True</x:v>
      </x:c>
      <x:c r="K307" s="9" t="str"/>
      <x:c r="L307" t="str">
        <x:v>gemma4:e4b</x:v>
      </x:c>
    </x:row>
    <x:row r="308" ht="38" customHeight="1">
      <x:c r="A308" t="n">
        <x:v>1676</x:v>
      </x:c>
      <x:c r="B308" t="str">
        <x:v>1.2.826.0.1.3680043.8.498.26790702379506190936834447203448882465</x:v>
      </x:c>
      <x:c r="C308" t="str">
        <x:v>English</x:v>
      </x:c>
      <x:c r="D308" t="str">
        <x:v>Synovitis</x:v>
      </x:c>
      <x:c r="E308" s="21" t="n">
        <x:v>0</x:v>
      </x:c>
      <x:c r="F308" s="21"/>
      <x:c r="G308" s="21" t="str">
        <x:f>IF(COUNT(F308)=0,"판정없음",IF(E308=F308,"일치",E308&amp;"→"&amp;F308))</x:f>
        <x:v>판정없음</x:v>
      </x:c>
      <x:c r="H308" t="str">
        <x:v>not_mentioned</x:v>
      </x:c>
      <x:c r="I308" s="9" t="str"/>
      <x:c r="J308" s="9" t="str">
        <x:v>True</x:v>
      </x:c>
      <x:c r="K308" s="9" t="str"/>
      <x:c r="L308" t="str">
        <x:v>gemma4:e4b</x:v>
      </x:c>
    </x:row>
    <x:row r="309" ht="38" customHeight="1">
      <x:c r="A309" t="n">
        <x:v>1707</x:v>
      </x:c>
      <x:c r="B309" t="str">
        <x:v>1.2.826.0.1.3680043.8.498.27437263843446879932281897446100134924</x:v>
      </x:c>
      <x:c r="C309" t="str">
        <x:v>English</x:v>
      </x:c>
      <x:c r="D309" t="str">
        <x:v>ACL</x:v>
      </x:c>
      <x:c r="E309" s="21" t="n">
        <x:v>0</x:v>
      </x:c>
      <x:c r="F309" s="21" t="n">
        <x:v>0</x:v>
      </x:c>
      <x:c r="G309" s="21" t="str">
        <x:f>IF(COUNT(F309)=0,"판정없음",IF(E309=F309,"일치",E309&amp;"→"&amp;F309))</x:f>
        <x:v>일치</x:v>
      </x:c>
      <x:c r="H309" t="str">
        <x:v>explicit_negative</x:v>
      </x:c>
      <x:c r="I309" s="9" t="str">
        <x:v>ACL normal</x:v>
      </x:c>
      <x:c r="J309" s="9" t="str">
        <x:v>True</x:v>
      </x:c>
      <x:c r="K309" s="9" t="str"/>
      <x:c r="L309" t="str">
        <x:v>gemma4:e4b</x:v>
      </x:c>
    </x:row>
    <x:row r="310" ht="38" customHeight="1">
      <x:c r="A310" t="n">
        <x:v>1707</x:v>
      </x:c>
      <x:c r="B310" t="str">
        <x:v>1.2.826.0.1.3680043.8.498.27437263843446879932281897446100134924</x:v>
      </x:c>
      <x:c r="C310" t="str">
        <x:v>English</x:v>
      </x:c>
      <x:c r="D310" t="str">
        <x:v>Baker's</x:v>
      </x:c>
      <x:c r="E310" s="21" t="n">
        <x:v>0</x:v>
      </x:c>
      <x:c r="F310" s="21" t="n">
        <x:v>0</x:v>
      </x:c>
      <x:c r="G310" s="21" t="str">
        <x:f>IF(COUNT(F310)=0,"판정없음",IF(E310=F310,"일치",E310&amp;"→"&amp;F310))</x:f>
        <x:v>일치</x:v>
      </x:c>
      <x:c r="H310" t="str">
        <x:v>explicit_negative</x:v>
      </x:c>
      <x:c r="I310" s="9" t="str">
        <x:v>No baker's cyst</x:v>
      </x:c>
      <x:c r="J310" s="9" t="str">
        <x:v>True</x:v>
      </x:c>
      <x:c r="K310" s="9" t="str"/>
      <x:c r="L310" t="str">
        <x:v>gemma4:e4b</x:v>
      </x:c>
    </x:row>
    <x:row r="311" ht="38" customHeight="1">
      <x:c r="A311" t="n">
        <x:v>1707</x:v>
      </x:c>
      <x:c r="B311" t="str">
        <x:v>1.2.826.0.1.3680043.8.498.27437263843446879932281897446100134924</x:v>
      </x:c>
      <x:c r="C311" t="str">
        <x:v>English</x:v>
      </x:c>
      <x:c r="D311" t="str">
        <x:v>Contusion</x:v>
      </x:c>
      <x:c r="E311" s="21" t="n">
        <x:v>0</x:v>
      </x:c>
      <x:c r="F311" s="21"/>
      <x:c r="G311" s="21" t="str">
        <x:f>IF(COUNT(F311)=0,"판정없음",IF(E311=F311,"일치",E311&amp;"→"&amp;F311))</x:f>
        <x:v>판정없음</x:v>
      </x:c>
      <x:c r="H311" t="str">
        <x:v>not_mentioned</x:v>
      </x:c>
      <x:c r="I311" s="9" t="str"/>
      <x:c r="J311" s="9" t="str">
        <x:v>True</x:v>
      </x:c>
      <x:c r="K311" s="9" t="str"/>
      <x:c r="L311" t="str">
        <x:v>gemma4:e4b</x:v>
      </x:c>
    </x:row>
    <x:row r="312" ht="38" customHeight="1">
      <x:c r="A312" t="n">
        <x:v>1707</x:v>
      </x:c>
      <x:c r="B312" t="str">
        <x:v>1.2.826.0.1.3680043.8.498.27437263843446879932281897446100134924</x:v>
      </x:c>
      <x:c r="C312" t="str">
        <x:v>English</x:v>
      </x:c>
      <x:c r="D312" t="str">
        <x:v>Effusion</x:v>
      </x:c>
      <x:c r="E312" s="21" t="n">
        <x:v>0</x:v>
      </x:c>
      <x:c r="F312" s="21" t="n">
        <x:v>0</x:v>
      </x:c>
      <x:c r="G312" s="21" t="str">
        <x:f>IF(COUNT(F312)=0,"판정없음",IF(E312=F312,"일치",E312&amp;"→"&amp;F312))</x:f>
        <x:v>일치</x:v>
      </x:c>
      <x:c r="H312" t="str">
        <x:v>explicit_negative</x:v>
      </x:c>
      <x:c r="I312" s="9" t="str">
        <x:v>No effusion</x:v>
      </x:c>
      <x:c r="J312" s="9" t="str">
        <x:v>True</x:v>
      </x:c>
      <x:c r="K312" s="9" t="str"/>
      <x:c r="L312" t="str">
        <x:v>gemma4:e4b</x:v>
      </x:c>
    </x:row>
    <x:row r="313" ht="38" customHeight="1">
      <x:c r="A313" t="n">
        <x:v>1707</x:v>
      </x:c>
      <x:c r="B313" t="str">
        <x:v>1.2.826.0.1.3680043.8.498.27437263843446879932281897446100134924</x:v>
      </x:c>
      <x:c r="C313" t="str">
        <x:v>English</x:v>
      </x:c>
      <x:c r="D313" t="str">
        <x:v>Fracture</x:v>
      </x:c>
      <x:c r="E313" s="21" t="n">
        <x:v>0</x:v>
      </x:c>
      <x:c r="F313" s="21"/>
      <x:c r="G313" s="21" t="str">
        <x:f>IF(COUNT(F313)=0,"판정없음",IF(E313=F313,"일치",E313&amp;"→"&amp;F313))</x:f>
        <x:v>판정없음</x:v>
      </x:c>
      <x:c r="H313" t="str">
        <x:v>not_mentioned</x:v>
      </x:c>
      <x:c r="I313" s="9" t="str"/>
      <x:c r="J313" s="9" t="str">
        <x:v>True</x:v>
      </x:c>
      <x:c r="K313" s="9" t="str"/>
      <x:c r="L313" t="str">
        <x:v>gemma4:e4b</x:v>
      </x:c>
    </x:row>
    <x:row r="314" ht="38" customHeight="1">
      <x:c r="A314" t="n">
        <x:v>1707</x:v>
      </x:c>
      <x:c r="B314" t="str">
        <x:v>1.2.826.0.1.3680043.8.498.27437263843446879932281897446100134924</x:v>
      </x:c>
      <x:c r="C314" t="str">
        <x:v>English</x:v>
      </x:c>
      <x:c r="D314" t="str">
        <x:v>Lateral Meniscus</x:v>
      </x:c>
      <x:c r="E314" s="21" t="n">
        <x:v>0</x:v>
      </x:c>
      <x:c r="F314" s="21" t="n">
        <x:v>0</x:v>
      </x:c>
      <x:c r="G314" s="21" t="str">
        <x:f>IF(COUNT(F314)=0,"판정없음",IF(E314=F314,"일치",E314&amp;"→"&amp;F314))</x:f>
        <x:v>일치</x:v>
      </x:c>
      <x:c r="H314" t="str">
        <x:v>explicit_negative</x:v>
      </x:c>
      <x:c r="I314" s="9" t="str">
        <x:v>Lateral meniscus normal</x:v>
      </x:c>
      <x:c r="J314" s="9" t="str">
        <x:v>True</x:v>
      </x:c>
      <x:c r="K314" s="9" t="str"/>
      <x:c r="L314" t="str">
        <x:v>gemma4:e4b</x:v>
      </x:c>
    </x:row>
    <x:row r="315" ht="38" customHeight="1">
      <x:c r="A315" t="n">
        <x:v>1707</x:v>
      </x:c>
      <x:c r="B315" t="str">
        <x:v>1.2.826.0.1.3680043.8.498.27437263843446879932281897446100134924</x:v>
      </x:c>
      <x:c r="C315" t="str">
        <x:v>English</x:v>
      </x:c>
      <x:c r="D315" t="str">
        <x:v>Lateral OA</x:v>
      </x:c>
      <x:c r="E315" s="21" t="n">
        <x:v>0</x:v>
      </x:c>
      <x:c r="F315" s="21"/>
      <x:c r="G315" s="21" t="str">
        <x:f>IF(COUNT(F315)=0,"판정없음",IF(E315=F315,"일치",E315&amp;"→"&amp;F315))</x:f>
        <x:v>판정없음</x:v>
      </x:c>
      <x:c r="H315" t="str">
        <x:v>not_mentioned</x:v>
      </x:c>
      <x:c r="I315" s="9" t="str"/>
      <x:c r="J315" s="9" t="str">
        <x:v>True</x:v>
      </x:c>
      <x:c r="K315" s="9" t="str"/>
      <x:c r="L315" t="str">
        <x:v>gemma4:e4b</x:v>
      </x:c>
    </x:row>
    <x:row r="316" ht="38" customHeight="1">
      <x:c r="A316" t="n">
        <x:v>1707</x:v>
      </x:c>
      <x:c r="B316" t="str">
        <x:v>1.2.826.0.1.3680043.8.498.27437263843446879932281897446100134924</x:v>
      </x:c>
      <x:c r="C316" t="str">
        <x:v>English</x:v>
      </x:c>
      <x:c r="D316" t="str">
        <x:v>MCL</x:v>
      </x:c>
      <x:c r="E316" s="21" t="n">
        <x:v>0</x:v>
      </x:c>
      <x:c r="F316" s="21" t="n">
        <x:v>0</x:v>
      </x:c>
      <x:c r="G316" s="21" t="str">
        <x:f>IF(COUNT(F316)=0,"판정없음",IF(E316=F316,"일치",E316&amp;"→"&amp;F316))</x:f>
        <x:v>일치</x:v>
      </x:c>
      <x:c r="H316" t="str">
        <x:v>explicit_negative</x:v>
      </x:c>
      <x:c r="I316" s="9" t="str">
        <x:v>MCL normal</x:v>
      </x:c>
      <x:c r="J316" s="9" t="str">
        <x:v>True</x:v>
      </x:c>
      <x:c r="K316" s="9" t="str"/>
      <x:c r="L316" t="str">
        <x:v>gemma4:e4b</x:v>
      </x:c>
    </x:row>
    <x:row r="317" ht="38" customHeight="1">
      <x:c r="A317" t="n">
        <x:v>1707</x:v>
      </x:c>
      <x:c r="B317" t="str">
        <x:v>1.2.826.0.1.3680043.8.498.27437263843446879932281897446100134924</x:v>
      </x:c>
      <x:c r="C317" t="str">
        <x:v>English</x:v>
      </x:c>
      <x:c r="D317" t="str">
        <x:v>Medial Meniscus</x:v>
      </x:c>
      <x:c r="E317" s="21" t="n">
        <x:v>1</x:v>
      </x:c>
      <x:c r="F317" s="21" t="n">
        <x:v>1</x:v>
      </x:c>
      <x:c r="G317" s="21" t="str">
        <x:f>IF(COUNT(F317)=0,"판정없음",IF(E317=F317,"일치",E317&amp;"→"&amp;F317))</x:f>
        <x:v>일치</x:v>
      </x:c>
      <x:c r="H317" t="str">
        <x:v>explicit_positive</x:v>
      </x:c>
      <x:c r="I317" s="9" t="str">
        <x:v>Medial meniscus tear</x:v>
      </x:c>
      <x:c r="J317" s="9" t="str">
        <x:v>True</x:v>
      </x:c>
      <x:c r="K317" s="9" t="str"/>
      <x:c r="L317" t="str">
        <x:v>gemma4:e4b</x:v>
      </x:c>
    </x:row>
    <x:row r="318" ht="38" customHeight="1">
      <x:c r="A318" t="n">
        <x:v>1707</x:v>
      </x:c>
      <x:c r="B318" t="str">
        <x:v>1.2.826.0.1.3680043.8.498.27437263843446879932281897446100134924</x:v>
      </x:c>
      <x:c r="C318" t="str">
        <x:v>English</x:v>
      </x:c>
      <x:c r="D318" t="str">
        <x:v>Medial OA</x:v>
      </x:c>
      <x:c r="E318" s="21" t="n">
        <x:v>0</x:v>
      </x:c>
      <x:c r="F318" s="21"/>
      <x:c r="G318" s="21" t="str">
        <x:f>IF(COUNT(F318)=0,"판정없음",IF(E318=F318,"일치",E318&amp;"→"&amp;F318))</x:f>
        <x:v>판정없음</x:v>
      </x:c>
      <x:c r="H318" t="str">
        <x:v>not_mentioned</x:v>
      </x:c>
      <x:c r="I318" s="9" t="str"/>
      <x:c r="J318" s="9" t="str">
        <x:v>True</x:v>
      </x:c>
      <x:c r="K318" s="9" t="str"/>
      <x:c r="L318" t="str">
        <x:v>gemma4:e4b</x:v>
      </x:c>
    </x:row>
    <x:row r="319" ht="38" customHeight="1">
      <x:c r="A319" t="n">
        <x:v>1707</x:v>
      </x:c>
      <x:c r="B319" t="str">
        <x:v>1.2.826.0.1.3680043.8.498.27437263843446879932281897446100134924</x:v>
      </x:c>
      <x:c r="C319" t="str">
        <x:v>English</x:v>
      </x:c>
      <x:c r="D319" t="str">
        <x:v>PF OA</x:v>
      </x:c>
      <x:c r="E319" s="21" t="n">
        <x:v>0</x:v>
      </x:c>
      <x:c r="F319" s="21"/>
      <x:c r="G319" s="21" t="str">
        <x:f>IF(COUNT(F319)=0,"판정없음",IF(E319=F319,"일치",E319&amp;"→"&amp;F319))</x:f>
        <x:v>판정없음</x:v>
      </x:c>
      <x:c r="H319" t="str">
        <x:v>not_mentioned</x:v>
      </x:c>
      <x:c r="I319" s="9" t="str"/>
      <x:c r="J319" s="9" t="str">
        <x:v>True</x:v>
      </x:c>
      <x:c r="K319" s="9" t="str"/>
      <x:c r="L319" t="str">
        <x:v>gemma4:e4b</x:v>
      </x:c>
    </x:row>
    <x:row r="320" ht="38" customHeight="1">
      <x:c r="A320" t="n">
        <x:v>1707</x:v>
      </x:c>
      <x:c r="B320" t="str">
        <x:v>1.2.826.0.1.3680043.8.498.27437263843446879932281897446100134924</x:v>
      </x:c>
      <x:c r="C320" t="str">
        <x:v>English</x:v>
      </x:c>
      <x:c r="D320" t="str">
        <x:v>Synovitis</x:v>
      </x:c>
      <x:c r="E320" s="21" t="n">
        <x:v>0</x:v>
      </x:c>
      <x:c r="F320" s="21"/>
      <x:c r="G320" s="21" t="str">
        <x:f>IF(COUNT(F320)=0,"판정없음",IF(E320=F320,"일치",E320&amp;"→"&amp;F320))</x:f>
        <x:v>판정없음</x:v>
      </x:c>
      <x:c r="H320" t="str">
        <x:v>not_mentioned</x:v>
      </x:c>
      <x:c r="I320" s="9" t="str"/>
      <x:c r="J320" s="9" t="str">
        <x:v>True</x:v>
      </x:c>
      <x:c r="K320" s="9" t="str"/>
      <x:c r="L320" t="str">
        <x:v>gemma4:e4b</x:v>
      </x:c>
    </x:row>
    <x:row r="321" ht="38" customHeight="1">
      <x:c r="A321" t="n">
        <x:v>1772</x:v>
      </x:c>
      <x:c r="B321" t="str">
        <x:v>1.2.826.0.1.3680043.8.498.28925345859498351203477642741908452608</x:v>
      </x:c>
      <x:c r="C321" t="str">
        <x:v>Turkish</x:v>
      </x:c>
      <x:c r="D321" t="str">
        <x:v>ACL</x:v>
      </x:c>
      <x:c r="E321" s="21" t="n">
        <x:v>0</x:v>
      </x:c>
      <x:c r="F321" s="21" t="n">
        <x:v>0</x:v>
      </x:c>
      <x:c r="G321" s="21" t="str">
        <x:f>IF(COUNT(F321)=0,"판정없음",IF(E321=F321,"일치",E321&amp;"→"&amp;F321))</x:f>
        <x:v>일치</x:v>
      </x:c>
      <x:c r="H321" t="str">
        <x:v>explicit_negative</x:v>
      </x:c>
      <x:c r="I321" s="9" t="str">
        <x:v>çm çapraz bağ , lateral ve medial kollateral ligaman normaldir.</x:v>
      </x:c>
      <x:c r="J321" s="9" t="str">
        <x:v>True</x:v>
      </x:c>
      <x:c r="K321" s="9" t="str"/>
      <x:c r="L321" t="str">
        <x:v>gemma4:e4b</x:v>
      </x:c>
    </x:row>
    <x:row r="322" ht="38" customHeight="1">
      <x:c r="A322" t="n">
        <x:v>1772</x:v>
      </x:c>
      <x:c r="B322" t="str">
        <x:v>1.2.826.0.1.3680043.8.498.28925345859498351203477642741908452608</x:v>
      </x:c>
      <x:c r="C322" t="str">
        <x:v>Turkish</x:v>
      </x:c>
      <x:c r="D322" t="str">
        <x:v>Baker's</x:v>
      </x:c>
      <x:c r="E322" s="21" t="n">
        <x:v>1</x:v>
      </x:c>
      <x:c r="F322" s="21" t="n">
        <x:v>1</x:v>
      </x:c>
      <x:c r="G322" s="21" t="str">
        <x:f>IF(COUNT(F322)=0,"판정없음",IF(E322=F322,"일치",E322&amp;"→"&amp;F322))</x:f>
        <x:v>일치</x:v>
      </x:c>
      <x:c r="H322" t="str">
        <x:v>explicit_positive</x:v>
      </x:c>
      <x:c r="I322" s="9" t="str">
        <x:v>Popliteal fossada 54x15 mm çapta Baker kisti ile uyumlu görünüm mevcuttur.</x:v>
      </x:c>
      <x:c r="J322" s="9" t="str">
        <x:v>True</x:v>
      </x:c>
      <x:c r="K322" s="9" t="str"/>
      <x:c r="L322" t="str">
        <x:v>gemma4:e4b</x:v>
      </x:c>
    </x:row>
    <x:row r="323" ht="38" customHeight="1">
      <x:c r="A323" t="n">
        <x:v>1772</x:v>
      </x:c>
      <x:c r="B323" t="str">
        <x:v>1.2.826.0.1.3680043.8.498.28925345859498351203477642741908452608</x:v>
      </x:c>
      <x:c r="C323" t="str">
        <x:v>Turkish</x:v>
      </x:c>
      <x:c r="D323" t="str">
        <x:v>Contusion</x:v>
      </x:c>
      <x:c r="E323" s="21" t="n">
        <x:v>0</x:v>
      </x:c>
      <x:c r="F323" s="21" t="n">
        <x:v>1</x:v>
      </x:c>
      <x:c r="G323" s="21" t="str">
        <x:f>IF(COUNT(F323)=0,"판정없음",IF(E323=F323,"일치",E323&amp;"→"&amp;F323))</x:f>
        <x:v>0→1</x:v>
      </x:c>
      <x:c r="H323" t="str">
        <x:v>explicit_positive</x:v>
      </x:c>
      <x:c r="I323" s="9" t="str">
        <x:v>Tibia proksimali ve femur distal epikondil seviyesi medialde kemik iliği ödemi ile uyumlu görünümler mevcuttur.</x:v>
      </x:c>
      <x:c r="J323" s="9" t="str">
        <x:v>True</x:v>
      </x:c>
      <x:c r="K323" s="9" t="str">
        <x:v>medialde</x:v>
      </x:c>
      <x:c r="L323" t="str">
        <x:v>gemma4:e4b</x:v>
      </x:c>
    </x:row>
    <x:row r="324" ht="38" customHeight="1">
      <x:c r="A324" t="n">
        <x:v>1772</x:v>
      </x:c>
      <x:c r="B324" t="str">
        <x:v>1.2.826.0.1.3680043.8.498.28925345859498351203477642741908452608</x:v>
      </x:c>
      <x:c r="C324" t="str">
        <x:v>Turkish</x:v>
      </x:c>
      <x:c r="D324" t="str">
        <x:v>Effusion</x:v>
      </x:c>
      <x:c r="E324" s="21" t="n">
        <x:v>0</x:v>
      </x:c>
      <x:c r="F324" s="21" t="n">
        <x:v>1</x:v>
      </x:c>
      <x:c r="G324" s="21" t="str">
        <x:f>IF(COUNT(F324)=0,"판정없음",IF(E324=F324,"일치",E324&amp;"→"&amp;F324))</x:f>
        <x:v>0→1</x:v>
      </x:c>
      <x:c r="H324" t="str">
        <x:v>explicit_positive</x:v>
      </x:c>
      <x:c r="I324" s="9" t="str">
        <x:v>Suprapatellar bursada sıvı artışı izlenmiştir.</x:v>
      </x:c>
      <x:c r="J324" s="9" t="str">
        <x:v>True</x:v>
      </x:c>
      <x:c r="K324" s="9" t="str"/>
      <x:c r="L324" t="str">
        <x:v>gemma4:e4b</x:v>
      </x:c>
    </x:row>
    <x:row r="325" ht="38" customHeight="1">
      <x:c r="A325" t="n">
        <x:v>1772</x:v>
      </x:c>
      <x:c r="B325" t="str">
        <x:v>1.2.826.0.1.3680043.8.498.28925345859498351203477642741908452608</x:v>
      </x:c>
      <x:c r="C325" t="str">
        <x:v>Turkish</x:v>
      </x:c>
      <x:c r="D325" t="str">
        <x:v>Fracture</x:v>
      </x:c>
      <x:c r="E325" s="21" t="n">
        <x:v>0</x:v>
      </x:c>
      <x:c r="F325" s="21"/>
      <x:c r="G325" s="21" t="str">
        <x:f>IF(COUNT(F325)=0,"판정없음",IF(E325=F325,"일치",E325&amp;"→"&amp;F325))</x:f>
        <x:v>판정없음</x:v>
      </x:c>
      <x:c r="H325" t="str">
        <x:v>not_mentioned</x:v>
      </x:c>
      <x:c r="I325" s="9" t="str"/>
      <x:c r="J325" s="9" t="str">
        <x:v>True</x:v>
      </x:c>
      <x:c r="K325" s="9" t="str"/>
      <x:c r="L325" t="str">
        <x:v>gemma4:e4b</x:v>
      </x:c>
    </x:row>
    <x:row r="326" ht="38" customHeight="1">
      <x:c r="A326" t="n">
        <x:v>1772</x:v>
      </x:c>
      <x:c r="B326" t="str">
        <x:v>1.2.826.0.1.3680043.8.498.28925345859498351203477642741908452608</x:v>
      </x:c>
      <x:c r="C326" t="str">
        <x:v>Turkish</x:v>
      </x:c>
      <x:c r="D326" t="str">
        <x:v>Lateral Meniscus</x:v>
      </x:c>
      <x:c r="E326" s="21" t="n">
        <x:v>1</x:v>
      </x:c>
      <x:c r="F326" s="21" t="n">
        <x:v>0</x:v>
      </x:c>
      <x:c r="G326" s="21" t="str">
        <x:f>IF(COUNT(F326)=0,"판정없음",IF(E326=F326,"일치",E326&amp;"→"&amp;F326))</x:f>
        <x:v>1→0</x:v>
      </x:c>
      <x:c r="H326" t="str">
        <x:v>explicit_negative</x:v>
      </x:c>
      <x:c r="I326" s="9" t="str">
        <x:v>Lateral menisküs normal.</x:v>
      </x:c>
      <x:c r="J326" s="9" t="str">
        <x:v>True</x:v>
      </x:c>
      <x:c r="K326" s="9" t="str"/>
      <x:c r="L326" t="str">
        <x:v>gemma4:e4b</x:v>
      </x:c>
    </x:row>
    <x:row r="327" ht="38" customHeight="1">
      <x:c r="A327" t="n">
        <x:v>1772</x:v>
      </x:c>
      <x:c r="B327" t="str">
        <x:v>1.2.826.0.1.3680043.8.498.28925345859498351203477642741908452608</x:v>
      </x:c>
      <x:c r="C327" t="str">
        <x:v>Turkish</x:v>
      </x:c>
      <x:c r="D327" t="str">
        <x:v>Lateral OA</x:v>
      </x:c>
      <x:c r="E327" s="21" t="n">
        <x:v>0</x:v>
      </x:c>
      <x:c r="F327" s="21"/>
      <x:c r="G327" s="21" t="str">
        <x:f>IF(COUNT(F327)=0,"판정없음",IF(E327=F327,"일치",E327&amp;"→"&amp;F327))</x:f>
        <x:v>판정없음</x:v>
      </x:c>
      <x:c r="H327" t="str">
        <x:v>not_mentioned</x:v>
      </x:c>
      <x:c r="I327" s="9" t="str"/>
      <x:c r="J327" s="9" t="str">
        <x:v>True</x:v>
      </x:c>
      <x:c r="K327" s="9" t="str"/>
      <x:c r="L327" t="str">
        <x:v>gemma4:e4b</x:v>
      </x:c>
    </x:row>
    <x:row r="328" ht="38" customHeight="1">
      <x:c r="A328" t="n">
        <x:v>1772</x:v>
      </x:c>
      <x:c r="B328" t="str">
        <x:v>1.2.826.0.1.3680043.8.498.28925345859498351203477642741908452608</x:v>
      </x:c>
      <x:c r="C328" t="str">
        <x:v>Turkish</x:v>
      </x:c>
      <x:c r="D328" t="str">
        <x:v>MCL</x:v>
      </x:c>
      <x:c r="E328" s="21" t="n">
        <x:v>0</x:v>
      </x:c>
      <x:c r="F328" s="21" t="n">
        <x:v>0</x:v>
      </x:c>
      <x:c r="G328" s="21" t="str">
        <x:f>IF(COUNT(F328)=0,"판정없음",IF(E328=F328,"일치",E328&amp;"→"&amp;F328))</x:f>
        <x:v>일치</x:v>
      </x:c>
      <x:c r="H328" t="str">
        <x:v>explicit_negative</x:v>
      </x:c>
      <x:c r="I328" s="9" t="str">
        <x:v>çm çapraz bağ , lateral ve medial kollateral ligaman normaldir.</x:v>
      </x:c>
      <x:c r="J328" s="9" t="str">
        <x:v>True</x:v>
      </x:c>
      <x:c r="K328" s="9" t="str"/>
      <x:c r="L328" t="str">
        <x:v>gemma4:e4b</x:v>
      </x:c>
    </x:row>
    <x:row r="329" ht="38" customHeight="1">
      <x:c r="A329" t="n">
        <x:v>1772</x:v>
      </x:c>
      <x:c r="B329" t="str">
        <x:v>1.2.826.0.1.3680043.8.498.28925345859498351203477642741908452608</x:v>
      </x:c>
      <x:c r="C329" t="str">
        <x:v>Turkish</x:v>
      </x:c>
      <x:c r="D329" t="str">
        <x:v>Medial Meniscus</x:v>
      </x:c>
      <x:c r="E329" s="21" t="n">
        <x:v>1</x:v>
      </x:c>
      <x:c r="F329" s="21" t="n">
        <x:v>1</x:v>
      </x:c>
      <x:c r="G329" s="21" t="str">
        <x:f>IF(COUNT(F329)=0,"판정없음",IF(E329=F329,"일치",E329&amp;"→"&amp;F329))</x:f>
        <x:v>일치</x:v>
      </x:c>
      <x:c r="H329" t="str">
        <x:v>explicit_positive</x:v>
      </x:c>
      <x:c r="I329" s="9" t="str">
        <x:v>Medial menisküs ekstrüde görünümde olup posterior hornunda yırtık ile uyumlu sinyal değişiklikleri mevcuttur.</x:v>
      </x:c>
      <x:c r="J329" s="9" t="str">
        <x:v>True</x:v>
      </x:c>
      <x:c r="K329" s="9" t="str"/>
      <x:c r="L329" t="str">
        <x:v>gemma4:e4b</x:v>
      </x:c>
    </x:row>
    <x:row r="330" ht="38" customHeight="1">
      <x:c r="A330" t="n">
        <x:v>1772</x:v>
      </x:c>
      <x:c r="B330" t="str">
        <x:v>1.2.826.0.1.3680043.8.498.28925345859498351203477642741908452608</x:v>
      </x:c>
      <x:c r="C330" t="str">
        <x:v>Turkish</x:v>
      </x:c>
      <x:c r="D330" t="str">
        <x:v>Medial OA</x:v>
      </x:c>
      <x:c r="E330" s="21" t="n">
        <x:v>1</x:v>
      </x:c>
      <x:c r="F330" s="21"/>
      <x:c r="G330" s="21" t="str">
        <x:f>IF(COUNT(F330)=0,"판정없음",IF(E330=F330,"일치",E330&amp;"→"&amp;F330))</x:f>
        <x:v>판정없음</x:v>
      </x:c>
      <x:c r="H330" t="str">
        <x:v>uncertain_or_indirect</x:v>
      </x:c>
      <x:c r="I330" s="9" t="str">
        <x:v>Bu düzeyde eklem aralığı belirgin daralmıştır.</x:v>
      </x:c>
      <x:c r="J330" s="9" t="str">
        <x:v>True</x:v>
      </x:c>
      <x:c r="K330" s="9" t="str"/>
      <x:c r="L330" t="str">
        <x:v>gemma4:e4b</x:v>
      </x:c>
    </x:row>
    <x:row r="331" ht="38" customHeight="1">
      <x:c r="A331" t="n">
        <x:v>1772</x:v>
      </x:c>
      <x:c r="B331" t="str">
        <x:v>1.2.826.0.1.3680043.8.498.28925345859498351203477642741908452608</x:v>
      </x:c>
      <x:c r="C331" t="str">
        <x:v>Turkish</x:v>
      </x:c>
      <x:c r="D331" t="str">
        <x:v>PF OA</x:v>
      </x:c>
      <x:c r="E331" s="21" t="n">
        <x:v>1</x:v>
      </x:c>
      <x:c r="F331" s="21"/>
      <x:c r="G331" s="21" t="str">
        <x:f>IF(COUNT(F331)=0,"판정없음",IF(E331=F331,"일치",E331&amp;"→"&amp;F331))</x:f>
        <x:v>판정없음</x:v>
      </x:c>
      <x:c r="H331" t="str">
        <x:v>not_mentioned</x:v>
      </x:c>
      <x:c r="I331" s="9" t="str"/>
      <x:c r="J331" s="9" t="str">
        <x:v>True</x:v>
      </x:c>
      <x:c r="K331" s="9" t="str"/>
      <x:c r="L331" t="str">
        <x:v>gemma4:e4b</x:v>
      </x:c>
    </x:row>
    <x:row r="332" ht="38" customHeight="1">
      <x:c r="A332" t="n">
        <x:v>1772</x:v>
      </x:c>
      <x:c r="B332" t="str">
        <x:v>1.2.826.0.1.3680043.8.498.28925345859498351203477642741908452608</x:v>
      </x:c>
      <x:c r="C332" t="str">
        <x:v>Turkish</x:v>
      </x:c>
      <x:c r="D332" t="str">
        <x:v>Synovitis</x:v>
      </x:c>
      <x:c r="E332" s="21" t="n">
        <x:v>0</x:v>
      </x:c>
      <x:c r="F332" s="21"/>
      <x:c r="G332" s="21" t="str">
        <x:f>IF(COUNT(F332)=0,"판정없음",IF(E332=F332,"일치",E332&amp;"→"&amp;F332))</x:f>
        <x:v>판정없음</x:v>
      </x:c>
      <x:c r="H332" t="str">
        <x:v>uncertain_or_indirect</x:v>
      </x:c>
      <x:c r="I332" s="9" t="str">
        <x:v>Medial kollateral ligaman çevresinde sıvı artışı izlenmiştir.</x:v>
      </x:c>
      <x:c r="J332" s="9" t="str">
        <x:v>True</x:v>
      </x:c>
      <x:c r="K332" s="9" t="str"/>
      <x:c r="L332" t="str">
        <x:v>gemma4:e4b</x:v>
      </x:c>
    </x:row>
    <x:row r="333" ht="38" customHeight="1">
      <x:c r="A333" t="n">
        <x:v>1799</x:v>
      </x:c>
      <x:c r="B333" t="str">
        <x:v>1.2.826.0.1.3680043.8.498.29764868091238287072166823522853419550</x:v>
      </x:c>
      <x:c r="C333" t="str">
        <x:v>English</x:v>
      </x:c>
      <x:c r="D333" t="str">
        <x:v>ACL</x:v>
      </x:c>
      <x:c r="E333" s="21" t="n">
        <x:v>1</x:v>
      </x:c>
      <x:c r="F333" s="21" t="n">
        <x:v>1</x:v>
      </x:c>
      <x:c r="G333" s="21" t="str">
        <x:f>IF(COUNT(F333)=0,"판정없음",IF(E333=F333,"일치",E333&amp;"→"&amp;F333))</x:f>
        <x:v>일치</x:v>
      </x:c>
      <x:c r="H333" t="str">
        <x:v>explicit_positive</x:v>
      </x:c>
      <x:c r="I333" s="9" t="str">
        <x:v>ACL is ruptured</x:v>
      </x:c>
      <x:c r="J333" s="9" t="str">
        <x:v>True</x:v>
      </x:c>
      <x:c r="K333" s="9" t="str"/>
      <x:c r="L333" t="str">
        <x:v>gemma4:e4b</x:v>
      </x:c>
    </x:row>
    <x:row r="334" ht="38" customHeight="1">
      <x:c r="A334" t="n">
        <x:v>1799</x:v>
      </x:c>
      <x:c r="B334" t="str">
        <x:v>1.2.826.0.1.3680043.8.498.29764868091238287072166823522853419550</x:v>
      </x:c>
      <x:c r="C334" t="str">
        <x:v>English</x:v>
      </x:c>
      <x:c r="D334" t="str">
        <x:v>Baker's</x:v>
      </x:c>
      <x:c r="E334" s="21" t="n">
        <x:v>0</x:v>
      </x:c>
      <x:c r="F334" s="21"/>
      <x:c r="G334" s="21" t="str">
        <x:f>IF(COUNT(F334)=0,"판정없음",IF(E334=F334,"일치",E334&amp;"→"&amp;F334))</x:f>
        <x:v>판정없음</x:v>
      </x:c>
      <x:c r="H334" t="str">
        <x:v>not_mentioned</x:v>
      </x:c>
      <x:c r="I334" s="9" t="str"/>
      <x:c r="J334" s="9" t="str">
        <x:v>True</x:v>
      </x:c>
      <x:c r="K334" s="9" t="str"/>
      <x:c r="L334" t="str">
        <x:v>gemma4:e4b</x:v>
      </x:c>
    </x:row>
    <x:row r="335" ht="38" customHeight="1">
      <x:c r="A335" t="n">
        <x:v>1799</x:v>
      </x:c>
      <x:c r="B335" t="str">
        <x:v>1.2.826.0.1.3680043.8.498.29764868091238287072166823522853419550</x:v>
      </x:c>
      <x:c r="C335" t="str">
        <x:v>English</x:v>
      </x:c>
      <x:c r="D335" t="str">
        <x:v>Contusion</x:v>
      </x:c>
      <x:c r="E335" s="21" t="n">
        <x:v>1</x:v>
      </x:c>
      <x:c r="F335" s="21" t="n">
        <x:v>1</x:v>
      </x:c>
      <x:c r="G335" s="21" t="str">
        <x:f>IF(COUNT(F335)=0,"판정없음",IF(E335=F335,"일치",E335&amp;"→"&amp;F335))</x:f>
        <x:v>일치</x:v>
      </x:c>
      <x:c r="H335" t="str">
        <x:v>explicit_positive</x:v>
      </x:c>
      <x:c r="I335" s="9" t="str">
        <x:v>A bone contusion is noted in the posterolateral corner of the lateral tibial plateau</x:v>
      </x:c>
      <x:c r="J335" s="9" t="str">
        <x:v>True</x:v>
      </x:c>
      <x:c r="K335" s="9" t="str">
        <x:v>Posterolateral tibial contusion</x:v>
      </x:c>
      <x:c r="L335" t="str">
        <x:v>gemma4:e4b</x:v>
      </x:c>
    </x:row>
    <x:row r="336" ht="38" customHeight="1">
      <x:c r="A336" t="n">
        <x:v>1799</x:v>
      </x:c>
      <x:c r="B336" t="str">
        <x:v>1.2.826.0.1.3680043.8.498.29764868091238287072166823522853419550</x:v>
      </x:c>
      <x:c r="C336" t="str">
        <x:v>English</x:v>
      </x:c>
      <x:c r="D336" t="str">
        <x:v>Effusion</x:v>
      </x:c>
      <x:c r="E336" s="21" t="n">
        <x:v>0</x:v>
      </x:c>
      <x:c r="F336" s="21" t="n">
        <x:v>0</x:v>
      </x:c>
      <x:c r="G336" s="21" t="str">
        <x:f>IF(COUNT(F336)=0,"판정없음",IF(E336=F336,"일치",E336&amp;"→"&amp;F336))</x:f>
        <x:v>일치</x:v>
      </x:c>
      <x:c r="H336" t="str">
        <x:v>explicit_negative</x:v>
      </x:c>
      <x:c r="I336" s="9" t="str">
        <x:v>No evidence of knee effusion</x:v>
      </x:c>
      <x:c r="J336" s="9" t="str">
        <x:v>True</x:v>
      </x:c>
      <x:c r="K336" s="9" t="str">
        <x:v>Mild effusion</x:v>
      </x:c>
      <x:c r="L336" t="str">
        <x:v>gemma4:e4b</x:v>
      </x:c>
    </x:row>
    <x:row r="337" ht="38" customHeight="1">
      <x:c r="A337" t="n">
        <x:v>1799</x:v>
      </x:c>
      <x:c r="B337" t="str">
        <x:v>1.2.826.0.1.3680043.8.498.29764868091238287072166823522853419550</x:v>
      </x:c>
      <x:c r="C337" t="str">
        <x:v>English</x:v>
      </x:c>
      <x:c r="D337" t="str">
        <x:v>Fracture</x:v>
      </x:c>
      <x:c r="E337" s="21" t="n">
        <x:v>1</x:v>
      </x:c>
      <x:c r="F337" s="21"/>
      <x:c r="G337" s="21" t="str">
        <x:f>IF(COUNT(F337)=0,"판정없음",IF(E337=F337,"일치",E337&amp;"→"&amp;F337))</x:f>
        <x:v>판정없음</x:v>
      </x:c>
      <x:c r="H337" t="str">
        <x:v>not_mentioned</x:v>
      </x:c>
      <x:c r="I337" s="9" t="str"/>
      <x:c r="J337" s="9" t="str">
        <x:v>True</x:v>
      </x:c>
      <x:c r="K337" s="9" t="str">
        <x:v>mild anterior translation of the lateral tibial plateau in relation to femur</x:v>
      </x:c>
      <x:c r="L337" t="str">
        <x:v>gemma4:e4b</x:v>
      </x:c>
    </x:row>
    <x:row r="338" ht="38" customHeight="1">
      <x:c r="A338" t="n">
        <x:v>1799</x:v>
      </x:c>
      <x:c r="B338" t="str">
        <x:v>1.2.826.0.1.3680043.8.498.29764868091238287072166823522853419550</x:v>
      </x:c>
      <x:c r="C338" t="str">
        <x:v>English</x:v>
      </x:c>
      <x:c r="D338" t="str">
        <x:v>Lateral Meniscus</x:v>
      </x:c>
      <x:c r="E338" s="21" t="n">
        <x:v>0</x:v>
      </x:c>
      <x:c r="F338" s="21" t="n">
        <x:v>0</x:v>
      </x:c>
      <x:c r="G338" s="21" t="str">
        <x:f>IF(COUNT(F338)=0,"판정없음",IF(E338=F338,"일치",E338&amp;"→"&amp;F338))</x:f>
        <x:v>일치</x:v>
      </x:c>
      <x:c r="H338" t="str">
        <x:v>explicit_negative</x:v>
      </x:c>
      <x:c r="I338" s="9" t="str">
        <x:v>Normal medial and lateral menisci</x:v>
      </x:c>
      <x:c r="J338" s="9" t="str">
        <x:v>True</x:v>
      </x:c>
      <x:c r="K338" s="9" t="str"/>
      <x:c r="L338" t="str">
        <x:v>gemma4:e4b</x:v>
      </x:c>
    </x:row>
    <x:row r="339" ht="38" customHeight="1">
      <x:c r="A339" t="n">
        <x:v>1799</x:v>
      </x:c>
      <x:c r="B339" t="str">
        <x:v>1.2.826.0.1.3680043.8.498.29764868091238287072166823522853419550</x:v>
      </x:c>
      <x:c r="C339" t="str">
        <x:v>English</x:v>
      </x:c>
      <x:c r="D339" t="str">
        <x:v>Lateral OA</x:v>
      </x:c>
      <x:c r="E339" s="21" t="n">
        <x:v>0</x:v>
      </x:c>
      <x:c r="F339" s="21" t="n">
        <x:v>0</x:v>
      </x:c>
      <x:c r="G339" s="21" t="str">
        <x:f>IF(COUNT(F339)=0,"판정없음",IF(E339=F339,"일치",E339&amp;"→"&amp;F339))</x:f>
        <x:v>일치</x:v>
      </x:c>
      <x:c r="H339" t="str">
        <x:v>explicit_negative</x:v>
      </x:c>
      <x:c r="I339" s="9" t="str">
        <x:v>The tibiofemoral and patellofemoral articular cartilage is normal</x:v>
      </x:c>
      <x:c r="J339" s="9" t="str">
        <x:v>True</x:v>
      </x:c>
      <x:c r="K339" s="9" t="str"/>
      <x:c r="L339" t="str">
        <x:v>gemma4:e4b</x:v>
      </x:c>
    </x:row>
    <x:row r="340" ht="38" customHeight="1">
      <x:c r="A340" t="n">
        <x:v>1799</x:v>
      </x:c>
      <x:c r="B340" t="str">
        <x:v>1.2.826.0.1.3680043.8.498.29764868091238287072166823522853419550</x:v>
      </x:c>
      <x:c r="C340" t="str">
        <x:v>English</x:v>
      </x:c>
      <x:c r="D340" t="str">
        <x:v>MCL</x:v>
      </x:c>
      <x:c r="E340" s="21" t="n">
        <x:v>0</x:v>
      </x:c>
      <x:c r="F340" s="21" t="n">
        <x:v>0</x:v>
      </x:c>
      <x:c r="G340" s="21" t="str">
        <x:f>IF(COUNT(F340)=0,"판정없음",IF(E340=F340,"일치",E340&amp;"→"&amp;F340))</x:f>
        <x:v>일치</x:v>
      </x:c>
      <x:c r="H340" t="str">
        <x:v>explicit_negative</x:v>
      </x:c>
      <x:c r="I340" s="9" t="str">
        <x:v>Normal PCL, MCL and LCL</x:v>
      </x:c>
      <x:c r="J340" s="9" t="str">
        <x:v>True</x:v>
      </x:c>
      <x:c r="K340" s="9" t="str"/>
      <x:c r="L340" t="str">
        <x:v>gemma4:e4b</x:v>
      </x:c>
    </x:row>
    <x:row r="341" ht="38" customHeight="1">
      <x:c r="A341" t="n">
        <x:v>1799</x:v>
      </x:c>
      <x:c r="B341" t="str">
        <x:v>1.2.826.0.1.3680043.8.498.29764868091238287072166823522853419550</x:v>
      </x:c>
      <x:c r="C341" t="str">
        <x:v>English</x:v>
      </x:c>
      <x:c r="D341" t="str">
        <x:v>Medial Meniscus</x:v>
      </x:c>
      <x:c r="E341" s="21" t="n">
        <x:v>0</x:v>
      </x:c>
      <x:c r="F341" s="21" t="n">
        <x:v>0</x:v>
      </x:c>
      <x:c r="G341" s="21" t="str">
        <x:f>IF(COUNT(F341)=0,"판정없음",IF(E341=F341,"일치",E341&amp;"→"&amp;F341))</x:f>
        <x:v>일치</x:v>
      </x:c>
      <x:c r="H341" t="str">
        <x:v>explicit_negative</x:v>
      </x:c>
      <x:c r="I341" s="9" t="str">
        <x:v>Normal medial and lateral menisci</x:v>
      </x:c>
      <x:c r="J341" s="9" t="str">
        <x:v>True</x:v>
      </x:c>
      <x:c r="K341" s="9" t="str"/>
      <x:c r="L341" t="str">
        <x:v>gemma4:e4b</x:v>
      </x:c>
    </x:row>
    <x:row r="342" ht="38" customHeight="1">
      <x:c r="A342" t="n">
        <x:v>1799</x:v>
      </x:c>
      <x:c r="B342" t="str">
        <x:v>1.2.826.0.1.3680043.8.498.29764868091238287072166823522853419550</x:v>
      </x:c>
      <x:c r="C342" t="str">
        <x:v>English</x:v>
      </x:c>
      <x:c r="D342" t="str">
        <x:v>Medial OA</x:v>
      </x:c>
      <x:c r="E342" s="21" t="n">
        <x:v>0</x:v>
      </x:c>
      <x:c r="F342" s="21" t="n">
        <x:v>0</x:v>
      </x:c>
      <x:c r="G342" s="21" t="str">
        <x:f>IF(COUNT(F342)=0,"판정없음",IF(E342=F342,"일치",E342&amp;"→"&amp;F342))</x:f>
        <x:v>일치</x:v>
      </x:c>
      <x:c r="H342" t="str">
        <x:v>explicit_negative</x:v>
      </x:c>
      <x:c r="I342" s="9" t="str">
        <x:v>The tibiofemoral and patellofemoral articular cartilage is normal</x:v>
      </x:c>
      <x:c r="J342" s="9" t="str">
        <x:v>True</x:v>
      </x:c>
      <x:c r="K342" s="9" t="str"/>
      <x:c r="L342" t="str">
        <x:v>gemma4:e4b</x:v>
      </x:c>
    </x:row>
    <x:row r="343" ht="38" customHeight="1">
      <x:c r="A343" t="n">
        <x:v>1799</x:v>
      </x:c>
      <x:c r="B343" t="str">
        <x:v>1.2.826.0.1.3680043.8.498.29764868091238287072166823522853419550</x:v>
      </x:c>
      <x:c r="C343" t="str">
        <x:v>English</x:v>
      </x:c>
      <x:c r="D343" t="str">
        <x:v>PF OA</x:v>
      </x:c>
      <x:c r="E343" s="21" t="n">
        <x:v>0</x:v>
      </x:c>
      <x:c r="F343" s="21" t="n">
        <x:v>0</x:v>
      </x:c>
      <x:c r="G343" s="21" t="str">
        <x:f>IF(COUNT(F343)=0,"판정없음",IF(E343=F343,"일치",E343&amp;"→"&amp;F343))</x:f>
        <x:v>일치</x:v>
      </x:c>
      <x:c r="H343" t="str">
        <x:v>explicit_negative</x:v>
      </x:c>
      <x:c r="I343" s="9" t="str">
        <x:v>The tibiofemoral and patellofemoral articular cartilage is normal</x:v>
      </x:c>
      <x:c r="J343" s="9" t="str">
        <x:v>True</x:v>
      </x:c>
      <x:c r="K343" s="9" t="str"/>
      <x:c r="L343" t="str">
        <x:v>gemma4:e4b</x:v>
      </x:c>
    </x:row>
    <x:row r="344" ht="38" customHeight="1">
      <x:c r="A344" t="n">
        <x:v>1799</x:v>
      </x:c>
      <x:c r="B344" t="str">
        <x:v>1.2.826.0.1.3680043.8.498.29764868091238287072166823522853419550</x:v>
      </x:c>
      <x:c r="C344" t="str">
        <x:v>English</x:v>
      </x:c>
      <x:c r="D344" t="str">
        <x:v>Synovitis</x:v>
      </x:c>
      <x:c r="E344" s="21" t="n">
        <x:v>0</x:v>
      </x:c>
      <x:c r="F344" s="21"/>
      <x:c r="G344" s="21" t="str">
        <x:f>IF(COUNT(F344)=0,"판정없음",IF(E344=F344,"일치",E344&amp;"→"&amp;F344))</x:f>
        <x:v>판정없음</x:v>
      </x:c>
      <x:c r="H344" t="str">
        <x:v>not_mentioned</x:v>
      </x:c>
      <x:c r="I344" s="9" t="str"/>
      <x:c r="J344" s="9" t="str">
        <x:v>True</x:v>
      </x:c>
      <x:c r="K344" s="9" t="str"/>
      <x:c r="L344" t="str">
        <x:v>gemma4:e4b</x:v>
      </x:c>
    </x:row>
    <x:row r="345" ht="38" customHeight="1">
      <x:c r="A345" t="n">
        <x:v>1816</x:v>
      </x:c>
      <x:c r="B345" t="str">
        <x:v>1.2.826.0.1.3680043.8.498.30246079718471552972130572444383079911</x:v>
      </x:c>
      <x:c r="C345" t="str">
        <x:v>Turkish</x:v>
      </x:c>
      <x:c r="D345" t="str">
        <x:v>ACL</x:v>
      </x:c>
      <x:c r="E345" s="21" t="n">
        <x:v>1</x:v>
      </x:c>
      <x:c r="F345" s="21"/>
      <x:c r="G345" s="21" t="str">
        <x:f>IF(COUNT(F345)=0,"판정없음",IF(E345=F345,"일치",E345&amp;"→"&amp;F345))</x:f>
        <x:v>판정없음</x:v>
      </x:c>
      <x:c r="H345" t="str">
        <x:v>uncertain_or_indirect</x:v>
      </x:c>
      <x:c r="I345" s="9" t="str">
        <x:v>Ön çapraz bağ devamlılığı seçilememiştir (komplet yırtık).</x:v>
      </x:c>
      <x:c r="J345" s="9" t="str">
        <x:v>True</x:v>
      </x:c>
      <x:c r="K345" s="9" t="str">
        <x:v>anterior cruciate ligament injury</x:v>
      </x:c>
      <x:c r="L345" t="str">
        <x:v>gemma4:e4b</x:v>
      </x:c>
    </x:row>
    <x:row r="346" ht="38" customHeight="1">
      <x:c r="A346" t="n">
        <x:v>1816</x:v>
      </x:c>
      <x:c r="B346" t="str">
        <x:v>1.2.826.0.1.3680043.8.498.30246079718471552972130572444383079911</x:v>
      </x:c>
      <x:c r="C346" t="str">
        <x:v>Turkish</x:v>
      </x:c>
      <x:c r="D346" t="str">
        <x:v>Baker's</x:v>
      </x:c>
      <x:c r="E346" s="21" t="n">
        <x:v>0</x:v>
      </x:c>
      <x:c r="F346" s="21"/>
      <x:c r="G346" s="21" t="str">
        <x:f>IF(COUNT(F346)=0,"판정없음",IF(E346=F346,"일치",E346&amp;"→"&amp;F346))</x:f>
        <x:v>판정없음</x:v>
      </x:c>
      <x:c r="H346" t="str">
        <x:v>not_mentioned</x:v>
      </x:c>
      <x:c r="I346" s="9" t="str"/>
      <x:c r="J346" s="9" t="str">
        <x:v>True</x:v>
      </x:c>
      <x:c r="K346" s="9" t="str">
        <x:v>Baker's cyst / popliteal cyst</x:v>
      </x:c>
      <x:c r="L346" t="str">
        <x:v>gemma4:e4b</x:v>
      </x:c>
    </x:row>
    <x:row r="347" ht="38" customHeight="1">
      <x:c r="A347" t="n">
        <x:v>1816</x:v>
      </x:c>
      <x:c r="B347" t="str">
        <x:v>1.2.826.0.1.3680043.8.498.30246079718471552972130572444383079911</x:v>
      </x:c>
      <x:c r="C347" t="str">
        <x:v>Turkish</x:v>
      </x:c>
      <x:c r="D347" t="str">
        <x:v>Contusion</x:v>
      </x:c>
      <x:c r="E347" s="21" t="n">
        <x:v>1</x:v>
      </x:c>
      <x:c r="F347" s="21" t="n">
        <x:v>1</x:v>
      </x:c>
      <x:c r="G347" s="21" t="str">
        <x:f>IF(COUNT(F347)=0,"판정없음",IF(E347=F347,"일치",E347&amp;"→"&amp;F347))</x:f>
        <x:v>일치</x:v>
      </x:c>
      <x:c r="H347" t="str">
        <x:v>explicit_positive</x:v>
      </x:c>
      <x:c r="I347" s="9" t="str">
        <x:v>Femur lateral kondil ve tibia lateral plato seviyesinde yaygın kontüzyonel kemik iliği ödemleri izlenmiştir.</x:v>
      </x:c>
      <x:c r="J347" s="9" t="str">
        <x:v>True</x:v>
      </x:c>
      <x:c r="K347" s="9" t="str">
        <x:v>bone contusion / bone bruise</x:v>
      </x:c>
      <x:c r="L347" t="str">
        <x:v>gemma4:e4b</x:v>
      </x:c>
    </x:row>
    <x:row r="348" ht="38" customHeight="1">
      <x:c r="A348" t="n">
        <x:v>1816</x:v>
      </x:c>
      <x:c r="B348" t="str">
        <x:v>1.2.826.0.1.3680043.8.498.30246079718471552972130572444383079911</x:v>
      </x:c>
      <x:c r="C348" t="str">
        <x:v>Turkish</x:v>
      </x:c>
      <x:c r="D348" t="str">
        <x:v>Effusion</x:v>
      </x:c>
      <x:c r="E348" s="21" t="n">
        <x:v>1</x:v>
      </x:c>
      <x:c r="F348" s="21" t="n">
        <x:v>1</x:v>
      </x:c>
      <x:c r="G348" s="21" t="str">
        <x:f>IF(COUNT(F348)=0,"판정없음",IF(E348=F348,"일치",E348&amp;"→"&amp;F348))</x:f>
        <x:v>일치</x:v>
      </x:c>
      <x:c r="H348" t="str">
        <x:v>explicit_positive</x:v>
      </x:c>
      <x:c r="I348" s="9" t="str">
        <x:v>Suprapatellar bursada ve diz eklemi içerisinde yaygın sıvı artışı izlenmiştir.</x:v>
      </x:c>
      <x:c r="J348" s="9" t="str">
        <x:v>True</x:v>
      </x:c>
      <x:c r="K348" s="9" t="str">
        <x:v>knee joint effusion or excess intra-articular fluid</x:v>
      </x:c>
      <x:c r="L348" t="str">
        <x:v>gemma4:e4b</x:v>
      </x:c>
    </x:row>
    <x:row r="349" ht="38" customHeight="1">
      <x:c r="A349" t="n">
        <x:v>1816</x:v>
      </x:c>
      <x:c r="B349" t="str">
        <x:v>1.2.826.0.1.3680043.8.498.30246079718471552972130572444383079911</x:v>
      </x:c>
      <x:c r="C349" t="str">
        <x:v>Turkish</x:v>
      </x:c>
      <x:c r="D349" t="str">
        <x:v>Fracture</x:v>
      </x:c>
      <x:c r="E349" s="21" t="n">
        <x:v>1</x:v>
      </x:c>
      <x:c r="F349" s="21"/>
      <x:c r="G349" s="21" t="str">
        <x:f>IF(COUNT(F349)=0,"판정없음",IF(E349=F349,"일치",E349&amp;"→"&amp;F349))</x:f>
        <x:v>판정없음</x:v>
      </x:c>
      <x:c r="H349" t="str">
        <x:v>not_mentioned</x:v>
      </x:c>
      <x:c r="I349" s="9" t="str"/>
      <x:c r="J349" s="9" t="str">
        <x:v>True</x:v>
      </x:c>
      <x:c r="K349" s="9" t="str">
        <x:v>fracture</x:v>
      </x:c>
      <x:c r="L349" t="str">
        <x:v>gemma4:e4b</x:v>
      </x:c>
    </x:row>
    <x:row r="350" ht="38" customHeight="1">
      <x:c r="A350" t="n">
        <x:v>1816</x:v>
      </x:c>
      <x:c r="B350" t="str">
        <x:v>1.2.826.0.1.3680043.8.498.30246079718471552972130572444383079911</x:v>
      </x:c>
      <x:c r="C350" t="str">
        <x:v>Turkish</x:v>
      </x:c>
      <x:c r="D350" t="str">
        <x:v>Lateral Meniscus</x:v>
      </x:c>
      <x:c r="E350" s="21" t="n">
        <x:v>1</x:v>
      </x:c>
      <x:c r="F350" s="21"/>
      <x:c r="G350" s="21" t="str">
        <x:f>IF(COUNT(F350)=0,"판정없음",IF(E350=F350,"일치",E350&amp;"→"&amp;F350))</x:f>
        <x:v>판정없음</x:v>
      </x:c>
      <x:c r="H350" t="str">
        <x:v>uncertain_or_indirect</x:v>
      </x:c>
      <x:c r="I350" s="9" t="str">
        <x:v>Lateral menisküste grade II dejenerasyon, kova sapı yırtığı ile uyumlu görünüm mevcuttur.</x:v>
      </x:c>
      <x:c r="J350" s="9" t="str">
        <x:v>True</x:v>
      </x:c>
      <x:c r="K350" s="9" t="str">
        <x:v>lateral meniscus tear</x:v>
      </x:c>
      <x:c r="L350" t="str">
        <x:v>gemma4:e4b</x:v>
      </x:c>
    </x:row>
    <x:row r="351" ht="38" customHeight="1">
      <x:c r="A351" t="n">
        <x:v>1816</x:v>
      </x:c>
      <x:c r="B351" t="str">
        <x:v>1.2.826.0.1.3680043.8.498.30246079718471552972130572444383079911</x:v>
      </x:c>
      <x:c r="C351" t="str">
        <x:v>Turkish</x:v>
      </x:c>
      <x:c r="D351" t="str">
        <x:v>Lateral OA</x:v>
      </x:c>
      <x:c r="E351" s="21" t="n">
        <x:v>0</x:v>
      </x:c>
      <x:c r="F351" s="21"/>
      <x:c r="G351" s="21" t="str">
        <x:f>IF(COUNT(F351)=0,"판정없음",IF(E351=F351,"일치",E351&amp;"→"&amp;F351))</x:f>
        <x:v>판정없음</x:v>
      </x:c>
      <x:c r="H351" t="str">
        <x:v>not_mentioned</x:v>
      </x:c>
      <x:c r="I351" s="9" t="str"/>
      <x:c r="J351" s="9" t="str">
        <x:v>True</x:v>
      </x:c>
      <x:c r="K351" s="9" t="str"/>
      <x:c r="L351" t="str">
        <x:v>gemma4:e4b</x:v>
      </x:c>
    </x:row>
    <x:row r="352" ht="38" customHeight="1">
      <x:c r="A352" t="n">
        <x:v>1816</x:v>
      </x:c>
      <x:c r="B352" t="str">
        <x:v>1.2.826.0.1.3680043.8.498.30246079718471552972130572444383079911</x:v>
      </x:c>
      <x:c r="C352" t="str">
        <x:v>Turkish</x:v>
      </x:c>
      <x:c r="D352" t="str">
        <x:v>MCL</x:v>
      </x:c>
      <x:c r="E352" s="21" t="n">
        <x:v>0</x:v>
      </x:c>
      <x:c r="F352" s="21"/>
      <x:c r="G352" s="21" t="str">
        <x:f>IF(COUNT(F352)=0,"판정없음",IF(E352=F352,"일치",E352&amp;"→"&amp;F352))</x:f>
        <x:v>판정없음</x:v>
      </x:c>
      <x:c r="H352" t="str">
        <x:v>uncertain_or_indirect</x:v>
      </x:c>
      <x:c r="I352" s="9" t="str">
        <x:v>Lateral ve medial kollateral ligamanlar çevresinde hafif ödematöz görünüm (grade I sprain) izlenmiştir.</x:v>
      </x:c>
      <x:c r="J352" s="9" t="str">
        <x:v>True</x:v>
      </x:c>
      <x:c r="K352" s="9" t="str">
        <x:v>medial collateral ligament injury</x:v>
      </x:c>
      <x:c r="L352" t="str">
        <x:v>gemma4:e4b</x:v>
      </x:c>
    </x:row>
    <x:row r="353" ht="38" customHeight="1">
      <x:c r="A353" t="n">
        <x:v>1816</x:v>
      </x:c>
      <x:c r="B353" t="str">
        <x:v>1.2.826.0.1.3680043.8.498.30246079718471552972130572444383079911</x:v>
      </x:c>
      <x:c r="C353" t="str">
        <x:v>Turkish</x:v>
      </x:c>
      <x:c r="D353" t="str">
        <x:v>Medial Meniscus</x:v>
      </x:c>
      <x:c r="E353" s="21" t="n">
        <x:v>1</x:v>
      </x:c>
      <x:c r="F353" s="21"/>
      <x:c r="G353" s="21" t="str">
        <x:f>IF(COUNT(F353)=0,"판정없음",IF(E353=F353,"일치",E353&amp;"→"&amp;F353))</x:f>
        <x:v>판정없음</x:v>
      </x:c>
      <x:c r="H353" t="str">
        <x:v>uncertain_or_indirect</x:v>
      </x:c>
      <x:c r="I353" s="9" t="str">
        <x:v>Medial menisküste grade II dejenerasyon, radial yırtık ile uyumlu görünüm mevcuttur.</x:v>
      </x:c>
      <x:c r="J353" s="9" t="str">
        <x:v>True</x:v>
      </x:c>
      <x:c r="K353" s="9" t="str">
        <x:v>medial meniscus tear</x:v>
      </x:c>
      <x:c r="L353" t="str">
        <x:v>gemma4:e4b</x:v>
      </x:c>
    </x:row>
    <x:row r="354" ht="38" customHeight="1">
      <x:c r="A354" t="n">
        <x:v>1816</x:v>
      </x:c>
      <x:c r="B354" t="str">
        <x:v>1.2.826.0.1.3680043.8.498.30246079718471552972130572444383079911</x:v>
      </x:c>
      <x:c r="C354" t="str">
        <x:v>Turkish</x:v>
      </x:c>
      <x:c r="D354" t="str">
        <x:v>Medial OA</x:v>
      </x:c>
      <x:c r="E354" s="21" t="n">
        <x:v>0</x:v>
      </x:c>
      <x:c r="F354" s="21"/>
      <x:c r="G354" s="21" t="str">
        <x:f>IF(COUNT(F354)=0,"판정없음",IF(E354=F354,"일치",E354&amp;"→"&amp;F354))</x:f>
        <x:v>판정없음</x:v>
      </x:c>
      <x:c r="H354" t="str">
        <x:v>not_mentioned</x:v>
      </x:c>
      <x:c r="I354" s="9" t="str"/>
      <x:c r="J354" s="9" t="str">
        <x:v>True</x:v>
      </x:c>
      <x:c r="K354" s="9" t="str"/>
      <x:c r="L354" t="str">
        <x:v>gemma4:e4b</x:v>
      </x:c>
    </x:row>
    <x:row r="355" ht="38" customHeight="1">
      <x:c r="A355" t="n">
        <x:v>1816</x:v>
      </x:c>
      <x:c r="B355" t="str">
        <x:v>1.2.826.0.1.3680043.8.498.30246079718471552972130572444383079911</x:v>
      </x:c>
      <x:c r="C355" t="str">
        <x:v>Turkish</x:v>
      </x:c>
      <x:c r="D355" t="str">
        <x:v>PF OA</x:v>
      </x:c>
      <x:c r="E355" s="21" t="n">
        <x:v>0</x:v>
      </x:c>
      <x:c r="F355" s="21"/>
      <x:c r="G355" s="21" t="str">
        <x:f>IF(COUNT(F355)=0,"판정없음",IF(E355=F355,"일치",E355&amp;"→"&amp;F355))</x:f>
        <x:v>판정없음</x:v>
      </x:c>
      <x:c r="H355" t="str">
        <x:v>not_mentioned</x:v>
      </x:c>
      <x:c r="I355" s="9" t="str"/>
      <x:c r="J355" s="9" t="str">
        <x:v>True</x:v>
      </x:c>
      <x:c r="K355" s="9" t="str"/>
      <x:c r="L355" t="str">
        <x:v>gemma4:e4b</x:v>
      </x:c>
    </x:row>
    <x:row r="356" ht="38" customHeight="1">
      <x:c r="A356" t="n">
        <x:v>1816</x:v>
      </x:c>
      <x:c r="B356" t="str">
        <x:v>1.2.826.0.1.3680043.8.498.30246079718471552972130572444383079911</x:v>
      </x:c>
      <x:c r="C356" t="str">
        <x:v>Turkish</x:v>
      </x:c>
      <x:c r="D356" t="str">
        <x:v>Synovitis</x:v>
      </x:c>
      <x:c r="E356" s="21" t="n">
        <x:v>1</x:v>
      </x:c>
      <x:c r="F356" s="21"/>
      <x:c r="G356" s="21" t="str">
        <x:f>IF(COUNT(F356)=0,"판정없음",IF(E356=F356,"일치",E356&amp;"→"&amp;F356))</x:f>
        <x:v>판정없음</x:v>
      </x:c>
      <x:c r="H356" t="str">
        <x:v>not_mentioned</x:v>
      </x:c>
      <x:c r="I356" s="9" t="str"/>
      <x:c r="J356" s="9" t="str">
        <x:v>True</x:v>
      </x:c>
      <x:c r="K356" s="9" t="str"/>
      <x:c r="L356" t="str">
        <x:v>gemma4:e4b</x:v>
      </x:c>
    </x:row>
    <x:row r="357" ht="38" customHeight="1">
      <x:c r="A357" t="n">
        <x:v>1894</x:v>
      </x:c>
      <x:c r="B357" t="str">
        <x:v>1.2.826.0.1.3680043.8.498.32321830776739689645700555055955725945</x:v>
      </x:c>
      <x:c r="C357" t="str">
        <x:v>Greek</x:v>
      </x:c>
      <x:c r="D357" t="str">
        <x:v>ACL</x:v>
      </x:c>
      <x:c r="E357" s="21" t="n">
        <x:v>1</x:v>
      </x:c>
      <x:c r="F357" s="21" t="n">
        <x:v>1</x:v>
      </x:c>
      <x:c r="G357" s="21" t="str">
        <x:f>IF(COUNT(F357)=0,"판정없음",IF(E357=F357,"일치",E357&amp;"→"&amp;F357))</x:f>
        <x:v>일치</x:v>
      </x:c>
      <x:c r="H357" t="str">
        <x:v>explicit_positive</x:v>
      </x:c>
      <x:c r="I357" s="9" t="str">
        <x:v>Οιδηµατώδης απεικόνιση του πρόσθιου χιαστού συνδέσµου µε ασυνέχεια των ινών του στο πλαίσιο υφολικής (σχεδόν πλήρους) ρήξης.</x:v>
      </x:c>
      <x:c r="J357" s="9" t="str">
        <x:v>True</x:v>
      </x:c>
      <x:c r="K357" s="9" t="str"/>
      <x:c r="L357" t="str">
        <x:v>gemma4:e4b</x:v>
      </x:c>
    </x:row>
    <x:row r="358" ht="38" customHeight="1">
      <x:c r="A358" t="n">
        <x:v>1894</x:v>
      </x:c>
      <x:c r="B358" t="str">
        <x:v>1.2.826.0.1.3680043.8.498.32321830776739689645700555055955725945</x:v>
      </x:c>
      <x:c r="C358" t="str">
        <x:v>Greek</x:v>
      </x:c>
      <x:c r="D358" t="str">
        <x:v>Baker's</x:v>
      </x:c>
      <x:c r="E358" s="21" t="n">
        <x:v>0</x:v>
      </x:c>
      <x:c r="F358" s="21"/>
      <x:c r="G358" s="21" t="str">
        <x:f>IF(COUNT(F358)=0,"판정없음",IF(E358=F358,"일치",E358&amp;"→"&amp;F358))</x:f>
        <x:v>판정없음</x:v>
      </x:c>
      <x:c r="H358" t="str">
        <x:v>not_mentioned</x:v>
      </x:c>
      <x:c r="I358" s="9" t="str"/>
      <x:c r="J358" s="9" t="str">
        <x:v>True</x:v>
      </x:c>
      <x:c r="K358" s="9" t="str"/>
      <x:c r="L358" t="str">
        <x:v>gemma4:e4b</x:v>
      </x:c>
    </x:row>
    <x:row r="359" ht="38" customHeight="1">
      <x:c r="A359" t="n">
        <x:v>1894</x:v>
      </x:c>
      <x:c r="B359" t="str">
        <x:v>1.2.826.0.1.3680043.8.498.32321830776739689645700555055955725945</x:v>
      </x:c>
      <x:c r="C359" t="str">
        <x:v>Greek</x:v>
      </x:c>
      <x:c r="D359" t="str">
        <x:v>Contusion</x:v>
      </x:c>
      <x:c r="E359" s="21" t="n">
        <x:v>1</x:v>
      </x:c>
      <x:c r="F359" s="21"/>
      <x:c r="G359" s="21" t="str">
        <x:f>IF(COUNT(F359)=0,"판정없음",IF(E359=F359,"일치",E359&amp;"→"&amp;F359))</x:f>
        <x:v>판정없음</x:v>
      </x:c>
      <x:c r="H359" t="str">
        <x:v>not_mentioned</x:v>
      </x:c>
      <x:c r="I359" s="9" t="str"/>
      <x:c r="J359" s="9" t="str">
        <x:v>True</x:v>
      </x:c>
      <x:c r="K359" s="9" t="str"/>
      <x:c r="L359" t="str">
        <x:v>gemma4:e4b</x:v>
      </x:c>
    </x:row>
    <x:row r="360" ht="38" customHeight="1">
      <x:c r="A360" t="n">
        <x:v>1894</x:v>
      </x:c>
      <x:c r="B360" t="str">
        <x:v>1.2.826.0.1.3680043.8.498.32321830776739689645700555055955725945</x:v>
      </x:c>
      <x:c r="C360" t="str">
        <x:v>Greek</x:v>
      </x:c>
      <x:c r="D360" t="str">
        <x:v>Effusion</x:v>
      </x:c>
      <x:c r="E360" s="21" t="n">
        <x:v>1</x:v>
      </x:c>
      <x:c r="F360" s="21" t="n">
        <x:v>1</x:v>
      </x:c>
      <x:c r="G360" s="21" t="str">
        <x:f>IF(COUNT(F360)=0,"판정없음",IF(E360=F360,"일치",E360&amp;"→"&amp;F360))</x:f>
        <x:v>일치</x:v>
      </x:c>
      <x:c r="H360" t="str">
        <x:v>explicit_positive</x:v>
      </x:c>
      <x:c r="I360" s="9" t="str">
        <x:v>Συλλογή υγρού προεπιγονατιδικά στο πλαίσιο προεπιγονατιδικής ορογονοθυλακίτιδας.</x:v>
      </x:c>
      <x:c r="J360" s="9" t="str">
        <x:v>True</x:v>
      </x:c>
      <x:c r="K360" s="9" t="str"/>
      <x:c r="L360" t="str">
        <x:v>gemma4:e4b</x:v>
      </x:c>
    </x:row>
    <x:row r="361" ht="38" customHeight="1">
      <x:c r="A361" t="n">
        <x:v>1894</x:v>
      </x:c>
      <x:c r="B361" t="str">
        <x:v>1.2.826.0.1.3680043.8.498.32321830776739689645700555055955725945</x:v>
      </x:c>
      <x:c r="C361" t="str">
        <x:v>Greek</x:v>
      </x:c>
      <x:c r="D361" t="str">
        <x:v>Fracture</x:v>
      </x:c>
      <x:c r="E361" s="21" t="n">
        <x:v>1</x:v>
      </x:c>
      <x:c r="F361" s="21"/>
      <x:c r="G361" s="21" t="str">
        <x:f>IF(COUNT(F361)=0,"판정없음",IF(E361=F361,"일치",E361&amp;"→"&amp;F361))</x:f>
        <x:v>판정없음</x:v>
      </x:c>
      <x:c r="H361" t="str">
        <x:v>not_mentioned</x:v>
      </x:c>
      <x:c r="I361" s="9" t="str"/>
      <x:c r="J361" s="9" t="str">
        <x:v>True</x:v>
      </x:c>
      <x:c r="K361" s="9" t="str"/>
      <x:c r="L361" t="str">
        <x:v>gemma4:e4b</x:v>
      </x:c>
    </x:row>
    <x:row r="362" ht="38" customHeight="1">
      <x:c r="A362" t="n">
        <x:v>1894</x:v>
      </x:c>
      <x:c r="B362" t="str">
        <x:v>1.2.826.0.1.3680043.8.498.32321830776739689645700555055955725945</x:v>
      </x:c>
      <x:c r="C362" t="str">
        <x:v>Greek</x:v>
      </x:c>
      <x:c r="D362" t="str">
        <x:v>Lateral Meniscus</x:v>
      </x:c>
      <x:c r="E362" s="21" t="n">
        <x:v>0</x:v>
      </x:c>
      <x:c r="F362" s="21"/>
      <x:c r="G362" s="21" t="str">
        <x:f>IF(COUNT(F362)=0,"판정없음",IF(E362=F362,"일치",E362&amp;"→"&amp;F362))</x:f>
        <x:v>판정없음</x:v>
      </x:c>
      <x:c r="H362" t="str">
        <x:v>not_mentioned</x:v>
      </x:c>
      <x:c r="I362" s="9" t="str"/>
      <x:c r="J362" s="9" t="str">
        <x:v>True</x:v>
      </x:c>
      <x:c r="K362" s="9" t="str"/>
      <x:c r="L362" t="str">
        <x:v>gemma4:e4b</x:v>
      </x:c>
    </x:row>
    <x:row r="363" ht="38" customHeight="1">
      <x:c r="A363" t="n">
        <x:v>1894</x:v>
      </x:c>
      <x:c r="B363" t="str">
        <x:v>1.2.826.0.1.3680043.8.498.32321830776739689645700555055955725945</x:v>
      </x:c>
      <x:c r="C363" t="str">
        <x:v>Greek</x:v>
      </x:c>
      <x:c r="D363" t="str">
        <x:v>Lateral OA</x:v>
      </x:c>
      <x:c r="E363" s="21" t="n">
        <x:v>0</x:v>
      </x:c>
      <x:c r="F363" s="21"/>
      <x:c r="G363" s="21" t="str">
        <x:f>IF(COUNT(F363)=0,"판정없음",IF(E363=F363,"일치",E363&amp;"→"&amp;F363))</x:f>
        <x:v>판정없음</x:v>
      </x:c>
      <x:c r="H363" t="str">
        <x:v>not_mentioned</x:v>
      </x:c>
      <x:c r="I363" s="9" t="str"/>
      <x:c r="J363" s="9" t="str">
        <x:v>True</x:v>
      </x:c>
      <x:c r="K363" s="9" t="str"/>
      <x:c r="L363" t="str">
        <x:v>gemma4:e4b</x:v>
      </x:c>
    </x:row>
    <x:row r="364" ht="38" customHeight="1">
      <x:c r="A364" t="n">
        <x:v>1894</x:v>
      </x:c>
      <x:c r="B364" t="str">
        <x:v>1.2.826.0.1.3680043.8.498.32321830776739689645700555055955725945</x:v>
      </x:c>
      <x:c r="C364" t="str">
        <x:v>Greek</x:v>
      </x:c>
      <x:c r="D364" t="str">
        <x:v>MCL</x:v>
      </x:c>
      <x:c r="E364" s="21" t="n">
        <x:v>1</x:v>
      </x:c>
      <x:c r="F364" s="21" t="n">
        <x:v>1</x:v>
      </x:c>
      <x:c r="G364" s="21" t="str">
        <x:f>IF(COUNT(F364)=0,"판정없음",IF(E364=F364,"일치",E364&amp;"→"&amp;F364))</x:f>
        <x:v>일치</x:v>
      </x:c>
      <x:c r="H364" t="str">
        <x:v>explicit_positive</x:v>
      </x:c>
      <x:c r="I364" s="9" t="str">
        <x:v>Οιδηµατώδης απεικόνιση και ασυνέχεια στην εγγύς µοίρα του έσω πλαγίου συνδέσµου µε παρουσία οιδήµατος πέριξ στο πλαίσιο µερικής ρήξης (grade 2).</x:v>
      </x:c>
      <x:c r="J364" s="9" t="str">
        <x:v>True</x:v>
      </x:c>
      <x:c r="K364" s="9" t="str"/>
      <x:c r="L364" t="str">
        <x:v>gemma4:e4b</x:v>
      </x:c>
    </x:row>
    <x:row r="365" ht="38" customHeight="1">
      <x:c r="A365" t="n">
        <x:v>1894</x:v>
      </x:c>
      <x:c r="B365" t="str">
        <x:v>1.2.826.0.1.3680043.8.498.32321830776739689645700555055955725945</x:v>
      </x:c>
      <x:c r="C365" t="str">
        <x:v>Greek</x:v>
      </x:c>
      <x:c r="D365" t="str">
        <x:v>Medial Meniscus</x:v>
      </x:c>
      <x:c r="E365" s="21" t="n">
        <x:v>0</x:v>
      </x:c>
      <x:c r="F365" s="21"/>
      <x:c r="G365" s="21" t="str">
        <x:f>IF(COUNT(F365)=0,"판정없음",IF(E365=F365,"일치",E365&amp;"→"&amp;F365))</x:f>
        <x:v>판정없음</x:v>
      </x:c>
      <x:c r="H365" t="str">
        <x:v>not_mentioned</x:v>
      </x:c>
      <x:c r="I365" s="9" t="str"/>
      <x:c r="J365" s="9" t="str">
        <x:v>True</x:v>
      </x:c>
      <x:c r="K365" s="9" t="str"/>
      <x:c r="L365" t="str">
        <x:v>gemma4:e4b</x:v>
      </x:c>
    </x:row>
    <x:row r="366" ht="38" customHeight="1">
      <x:c r="A366" t="n">
        <x:v>1894</x:v>
      </x:c>
      <x:c r="B366" t="str">
        <x:v>1.2.826.0.1.3680043.8.498.32321830776739689645700555055955725945</x:v>
      </x:c>
      <x:c r="C366" t="str">
        <x:v>Greek</x:v>
      </x:c>
      <x:c r="D366" t="str">
        <x:v>Medial OA</x:v>
      </x:c>
      <x:c r="E366" s="21" t="n">
        <x:v>0</x:v>
      </x:c>
      <x:c r="F366" s="21" t="n">
        <x:v>1</x:v>
      </x:c>
      <x:c r="G366" s="21" t="str">
        <x:f>IF(COUNT(F366)=0,"판정없음",IF(E366=F366,"일치",E366&amp;"→"&amp;F366))</x:f>
        <x:v>0→1</x:v>
      </x:c>
      <x:c r="H366" t="str">
        <x:v>explicit_positive</x:v>
      </x:c>
      <x:c r="I366" s="9" t="str">
        <x:v>Λέπτυνση και ανωµαλία παρυφής του αρθρικού χόνδρου ιδίως στο έσω µεσάρθριο</x:v>
      </x:c>
      <x:c r="J366" s="9" t="str">
        <x:v>True</x:v>
      </x:c>
      <x:c r="K366" s="9" t="str"/>
      <x:c r="L366" t="str">
        <x:v>gemma4:e4b</x:v>
      </x:c>
    </x:row>
    <x:row r="367" ht="38" customHeight="1">
      <x:c r="A367" t="n">
        <x:v>1894</x:v>
      </x:c>
      <x:c r="B367" t="str">
        <x:v>1.2.826.0.1.3680043.8.498.32321830776739689645700555055955725945</x:v>
      </x:c>
      <x:c r="C367" t="str">
        <x:v>Greek</x:v>
      </x:c>
      <x:c r="D367" t="str">
        <x:v>PF OA</x:v>
      </x:c>
      <x:c r="E367" s="21" t="n">
        <x:v>1</x:v>
      </x:c>
      <x:c r="F367" s="21" t="n">
        <x:v>1</x:v>
      </x:c>
      <x:c r="G367" s="21" t="str">
        <x:f>IF(COUNT(F367)=0,"판정없음",IF(E367=F367,"일치",E367&amp;"→"&amp;F367))</x:f>
        <x:v>일치</x:v>
      </x:c>
      <x:c r="H367" t="str">
        <x:v>explicit_positive</x:v>
      </x:c>
      <x:c r="I367" s="9" t="str">
        <x:v>και στον έσω αρθρικό χόνδρο της επιγονατίδας στο πλαίσιο αρχόµενης οστεοαρθρίτιδας.</x:v>
      </x:c>
      <x:c r="J367" s="9" t="str">
        <x:v>True</x:v>
      </x:c>
      <x:c r="K367" s="9" t="str"/>
      <x:c r="L367" t="str">
        <x:v>gemma4:e4b</x:v>
      </x:c>
    </x:row>
    <x:row r="368" ht="38" customHeight="1">
      <x:c r="A368" t="n">
        <x:v>1894</x:v>
      </x:c>
      <x:c r="B368" t="str">
        <x:v>1.2.826.0.1.3680043.8.498.32321830776739689645700555055955725945</x:v>
      </x:c>
      <x:c r="C368" t="str">
        <x:v>Greek</x:v>
      </x:c>
      <x:c r="D368" t="str">
        <x:v>Synovitis</x:v>
      </x:c>
      <x:c r="E368" s="21" t="n">
        <x:v>1</x:v>
      </x:c>
      <x:c r="F368" s="21"/>
      <x:c r="G368" s="21" t="str">
        <x:f>IF(COUNT(F368)=0,"판정없음",IF(E368=F368,"일치",E368&amp;"→"&amp;F368))</x:f>
        <x:v>판정없음</x:v>
      </x:c>
      <x:c r="H368" t="str">
        <x:v>not_mentioned</x:v>
      </x:c>
      <x:c r="I368" s="9" t="str"/>
      <x:c r="J368" s="9" t="str">
        <x:v>True</x:v>
      </x:c>
      <x:c r="K368" s="9" t="str"/>
      <x:c r="L368" t="str">
        <x:v>gemma4:e4b</x:v>
      </x:c>
    </x:row>
    <x:row r="369" ht="38" customHeight="1">
      <x:c r="A369" t="n">
        <x:v>2064</x:v>
      </x:c>
      <x:c r="B369" t="str">
        <x:v>1.2.826.0.1.3680043.8.498.37040910196459054543310335064167212742</x:v>
      </x:c>
      <x:c r="C369" t="str">
        <x:v>English</x:v>
      </x:c>
      <x:c r="D369" t="str">
        <x:v>ACL</x:v>
      </x:c>
      <x:c r="E369" s="21" t="n">
        <x:v>1</x:v>
      </x:c>
      <x:c r="F369" s="21" t="n">
        <x:v>1</x:v>
      </x:c>
      <x:c r="G369" s="21" t="str">
        <x:f>IF(COUNT(F369)=0,"판정없음",IF(E369=F369,"일치",E369&amp;"→"&amp;F369))</x:f>
        <x:v>일치</x:v>
      </x:c>
      <x:c r="H369" t="str">
        <x:v>explicit_positive</x:v>
      </x:c>
      <x:c r="I369" s="9" t="str">
        <x:v>ACL tear</x:v>
      </x:c>
      <x:c r="J369" s="9" t="str">
        <x:v>True</x:v>
      </x:c>
      <x:c r="K369" s="9" t="str"/>
      <x:c r="L369" t="str">
        <x:v>gemma4:e4b</x:v>
      </x:c>
    </x:row>
    <x:row r="370" ht="38" customHeight="1">
      <x:c r="A370" t="n">
        <x:v>2064</x:v>
      </x:c>
      <x:c r="B370" t="str">
        <x:v>1.2.826.0.1.3680043.8.498.37040910196459054543310335064167212742</x:v>
      </x:c>
      <x:c r="C370" t="str">
        <x:v>English</x:v>
      </x:c>
      <x:c r="D370" t="str">
        <x:v>Baker's</x:v>
      </x:c>
      <x:c r="E370" s="21" t="n">
        <x:v>0</x:v>
      </x:c>
      <x:c r="F370" s="21"/>
      <x:c r="G370" s="21" t="str">
        <x:f>IF(COUNT(F370)=0,"판정없음",IF(E370=F370,"일치",E370&amp;"→"&amp;F370))</x:f>
        <x:v>판정없음</x:v>
      </x:c>
      <x:c r="H370" t="str">
        <x:v>not_mentioned</x:v>
      </x:c>
      <x:c r="I370" s="9" t="str"/>
      <x:c r="J370" s="9" t="str">
        <x:v>True</x:v>
      </x:c>
      <x:c r="K370" s="9" t="str"/>
      <x:c r="L370" t="str">
        <x:v>gemma4:e4b</x:v>
      </x:c>
    </x:row>
    <x:row r="371" ht="38" customHeight="1">
      <x:c r="A371" t="n">
        <x:v>2064</x:v>
      </x:c>
      <x:c r="B371" t="str">
        <x:v>1.2.826.0.1.3680043.8.498.37040910196459054543310335064167212742</x:v>
      </x:c>
      <x:c r="C371" t="str">
        <x:v>English</x:v>
      </x:c>
      <x:c r="D371" t="str">
        <x:v>Contusion</x:v>
      </x:c>
      <x:c r="E371" s="21" t="n">
        <x:v>1</x:v>
      </x:c>
      <x:c r="F371" s="21" t="n">
        <x:v>1</x:v>
      </x:c>
      <x:c r="G371" s="21" t="str">
        <x:f>IF(COUNT(F371)=0,"판정없음",IF(E371=F371,"일치",E371&amp;"→"&amp;F371))</x:f>
        <x:v>일치</x:v>
      </x:c>
      <x:c r="H371" t="str">
        <x:v>explicit_positive</x:v>
      </x:c>
      <x:c r="I371" s="9" t="str">
        <x:v>Bone contusion in distal femur, proximal tibia and fibula, and lower pole of patella</x:v>
      </x:c>
      <x:c r="J371" s="9" t="str">
        <x:v>True</x:v>
      </x:c>
      <x:c r="K371" s="9" t="str"/>
      <x:c r="L371" t="str">
        <x:v>gemma4:e4b</x:v>
      </x:c>
    </x:row>
    <x:row r="372" ht="38" customHeight="1">
      <x:c r="A372" t="n">
        <x:v>2064</x:v>
      </x:c>
      <x:c r="B372" t="str">
        <x:v>1.2.826.0.1.3680043.8.498.37040910196459054543310335064167212742</x:v>
      </x:c>
      <x:c r="C372" t="str">
        <x:v>English</x:v>
      </x:c>
      <x:c r="D372" t="str">
        <x:v>Effusion</x:v>
      </x:c>
      <x:c r="E372" s="21" t="n">
        <x:v>1</x:v>
      </x:c>
      <x:c r="F372" s="21" t="n">
        <x:v>1</x:v>
      </x:c>
      <x:c r="G372" s="21" t="str">
        <x:f>IF(COUNT(F372)=0,"판정없음",IF(E372=F372,"일치",E372&amp;"→"&amp;F372))</x:f>
        <x:v>일치</x:v>
      </x:c>
      <x:c r="H372" t="str">
        <x:v>explicit_positive</x:v>
      </x:c>
      <x:c r="I372" s="9" t="str">
        <x:v>Joint effusion</x:v>
      </x:c>
      <x:c r="J372" s="9" t="str">
        <x:v>True</x:v>
      </x:c>
      <x:c r="K372" s="9" t="str">
        <x:v>suprapatellar bursitis</x:v>
      </x:c>
      <x:c r="L372" t="str">
        <x:v>gemma4:e4b</x:v>
      </x:c>
    </x:row>
    <x:row r="373" ht="38" customHeight="1">
      <x:c r="A373" t="n">
        <x:v>2064</x:v>
      </x:c>
      <x:c r="B373" t="str">
        <x:v>1.2.826.0.1.3680043.8.498.37040910196459054543310335064167212742</x:v>
      </x:c>
      <x:c r="C373" t="str">
        <x:v>English</x:v>
      </x:c>
      <x:c r="D373" t="str">
        <x:v>Fracture</x:v>
      </x:c>
      <x:c r="E373" s="21" t="n">
        <x:v>1</x:v>
      </x:c>
      <x:c r="F373" s="21" t="n">
        <x:v>1</x:v>
      </x:c>
      <x:c r="G373" s="21" t="str">
        <x:f>IF(COUNT(F373)=0,"판정없음",IF(E373=F373,"일치",E373&amp;"→"&amp;F373))</x:f>
        <x:v>일치</x:v>
      </x:c>
      <x:c r="H373" t="str">
        <x:v>explicit_positive</x:v>
      </x:c>
      <x:c r="I373" s="9" t="str">
        <x:v>Subchondral fracture over posterior aspect of medial tibial plateau</x:v>
      </x:c>
      <x:c r="J373" s="9" t="str">
        <x:v>True</x:v>
      </x:c>
      <x:c r="K373" s="9" t="str"/>
      <x:c r="L373" t="str">
        <x:v>gemma4:e4b</x:v>
      </x:c>
    </x:row>
    <x:row r="374" ht="38" customHeight="1">
      <x:c r="A374" t="n">
        <x:v>2064</x:v>
      </x:c>
      <x:c r="B374" t="str">
        <x:v>1.2.826.0.1.3680043.8.498.37040910196459054543310335064167212742</x:v>
      </x:c>
      <x:c r="C374" t="str">
        <x:v>English</x:v>
      </x:c>
      <x:c r="D374" t="str">
        <x:v>Lateral Meniscus</x:v>
      </x:c>
      <x:c r="E374" s="21" t="n">
        <x:v>1</x:v>
      </x:c>
      <x:c r="F374" s="21" t="n">
        <x:v>1</x:v>
      </x:c>
      <x:c r="G374" s="21" t="str">
        <x:f>IF(COUNT(F374)=0,"판정없음",IF(E374=F374,"일치",E374&amp;"→"&amp;F374))</x:f>
        <x:v>일치</x:v>
      </x:c>
      <x:c r="H374" t="str">
        <x:v>explicit_positive</x:v>
      </x:c>
      <x:c r="I374" s="9" t="str">
        <x:v>suspect posterior root tear of lateral meniscus</x:v>
      </x:c>
      <x:c r="J374" s="9" t="str">
        <x:v>True</x:v>
      </x:c>
      <x:c r="K374" s="9" t="str"/>
      <x:c r="L374" t="str">
        <x:v>gemma4:e4b</x:v>
      </x:c>
    </x:row>
    <x:row r="375" ht="38" customHeight="1">
      <x:c r="A375" t="n">
        <x:v>2064</x:v>
      </x:c>
      <x:c r="B375" t="str">
        <x:v>1.2.826.0.1.3680043.8.498.37040910196459054543310335064167212742</x:v>
      </x:c>
      <x:c r="C375" t="str">
        <x:v>English</x:v>
      </x:c>
      <x:c r="D375" t="str">
        <x:v>Lateral OA</x:v>
      </x:c>
      <x:c r="E375" s="21" t="n">
        <x:v>0</x:v>
      </x:c>
      <x:c r="F375" s="21"/>
      <x:c r="G375" s="21" t="str">
        <x:f>IF(COUNT(F375)=0,"판정없음",IF(E375=F375,"일치",E375&amp;"→"&amp;F375))</x:f>
        <x:v>판정없음</x:v>
      </x:c>
      <x:c r="H375" t="str">
        <x:v>not_mentioned</x:v>
      </x:c>
      <x:c r="I375" s="9" t="str"/>
      <x:c r="J375" s="9" t="str">
        <x:v>True</x:v>
      </x:c>
      <x:c r="K375" s="9" t="str"/>
      <x:c r="L375" t="str">
        <x:v>gemma4:e4b</x:v>
      </x:c>
    </x:row>
    <x:row r="376" ht="38" customHeight="1">
      <x:c r="A376" t="n">
        <x:v>2064</x:v>
      </x:c>
      <x:c r="B376" t="str">
        <x:v>1.2.826.0.1.3680043.8.498.37040910196459054543310335064167212742</x:v>
      </x:c>
      <x:c r="C376" t="str">
        <x:v>English</x:v>
      </x:c>
      <x:c r="D376" t="str">
        <x:v>MCL</x:v>
      </x:c>
      <x:c r="E376" s="21" t="n">
        <x:v>0</x:v>
      </x:c>
      <x:c r="F376" s="21" t="n">
        <x:v>1</x:v>
      </x:c>
      <x:c r="G376" s="21" t="str">
        <x:f>IF(COUNT(F376)=0,"판정없음",IF(E376=F376,"일치",E376&amp;"→"&amp;F376))</x:f>
        <x:v>0→1</x:v>
      </x:c>
      <x:c r="H376" t="str">
        <x:v>explicit_positive</x:v>
      </x:c>
      <x:c r="I376" s="9" t="str">
        <x:v>Grade 2 injury of MCL (especially at the deep MCL/meniscofemoral ligament)</x:v>
      </x:c>
      <x:c r="J376" s="9" t="str">
        <x:v>True</x:v>
      </x:c>
      <x:c r="K376" s="9" t="str"/>
      <x:c r="L376" t="str">
        <x:v>gemma4:e4b</x:v>
      </x:c>
    </x:row>
    <x:row r="377" ht="38" customHeight="1">
      <x:c r="A377" t="n">
        <x:v>2064</x:v>
      </x:c>
      <x:c r="B377" t="str">
        <x:v>1.2.826.0.1.3680043.8.498.37040910196459054543310335064167212742</x:v>
      </x:c>
      <x:c r="C377" t="str">
        <x:v>English</x:v>
      </x:c>
      <x:c r="D377" t="str">
        <x:v>Medial Meniscus</x:v>
      </x:c>
      <x:c r="E377" s="21" t="n">
        <x:v>1</x:v>
      </x:c>
      <x:c r="F377" s="21" t="n">
        <x:v>1</x:v>
      </x:c>
      <x:c r="G377" s="21" t="str">
        <x:f>IF(COUNT(F377)=0,"판정없음",IF(E377=F377,"일치",E377&amp;"→"&amp;F377))</x:f>
        <x:v>일치</x:v>
      </x:c>
      <x:c r="H377" t="str">
        <x:v>explicit_positive</x:v>
      </x:c>
      <x:c r="I377" s="9" t="str">
        <x:v>Meniscal tear in the body and posterior horn of medial meniscus</x:v>
      </x:c>
      <x:c r="J377" s="9" t="str">
        <x:v>True</x:v>
      </x:c>
      <x:c r="K377" s="9" t="str"/>
      <x:c r="L377" t="str">
        <x:v>gemma4:e4b</x:v>
      </x:c>
    </x:row>
    <x:row r="378" ht="38" customHeight="1">
      <x:c r="A378" t="n">
        <x:v>2064</x:v>
      </x:c>
      <x:c r="B378" t="str">
        <x:v>1.2.826.0.1.3680043.8.498.37040910196459054543310335064167212742</x:v>
      </x:c>
      <x:c r="C378" t="str">
        <x:v>English</x:v>
      </x:c>
      <x:c r="D378" t="str">
        <x:v>Medial OA</x:v>
      </x:c>
      <x:c r="E378" s="21" t="n">
        <x:v>0</x:v>
      </x:c>
      <x:c r="F378" s="21"/>
      <x:c r="G378" s="21" t="str">
        <x:f>IF(COUNT(F378)=0,"판정없음",IF(E378=F378,"일치",E378&amp;"→"&amp;F378))</x:f>
        <x:v>판정없음</x:v>
      </x:c>
      <x:c r="H378" t="str">
        <x:v>not_mentioned</x:v>
      </x:c>
      <x:c r="I378" s="9" t="str"/>
      <x:c r="J378" s="9" t="str">
        <x:v>True</x:v>
      </x:c>
      <x:c r="K378" s="9" t="str"/>
      <x:c r="L378" t="str">
        <x:v>gemma4:e4b</x:v>
      </x:c>
    </x:row>
    <x:row r="379" ht="38" customHeight="1">
      <x:c r="A379" t="n">
        <x:v>2064</x:v>
      </x:c>
      <x:c r="B379" t="str">
        <x:v>1.2.826.0.1.3680043.8.498.37040910196459054543310335064167212742</x:v>
      </x:c>
      <x:c r="C379" t="str">
        <x:v>English</x:v>
      </x:c>
      <x:c r="D379" t="str">
        <x:v>PF OA</x:v>
      </x:c>
      <x:c r="E379" s="21" t="n">
        <x:v>0</x:v>
      </x:c>
      <x:c r="F379" s="21"/>
      <x:c r="G379" s="21" t="str">
        <x:f>IF(COUNT(F379)=0,"판정없음",IF(E379=F379,"일치",E379&amp;"→"&amp;F379))</x:f>
        <x:v>판정없음</x:v>
      </x:c>
      <x:c r="H379" t="str">
        <x:v>not_mentioned</x:v>
      </x:c>
      <x:c r="I379" s="9" t="str"/>
      <x:c r="J379" s="9" t="str">
        <x:v>True</x:v>
      </x:c>
      <x:c r="K379" s="9" t="str"/>
      <x:c r="L379" t="str">
        <x:v>gemma4:e4b</x:v>
      </x:c>
    </x:row>
    <x:row r="380" ht="38" customHeight="1">
      <x:c r="A380" t="n">
        <x:v>2064</x:v>
      </x:c>
      <x:c r="B380" t="str">
        <x:v>1.2.826.0.1.3680043.8.498.37040910196459054543310335064167212742</x:v>
      </x:c>
      <x:c r="C380" t="str">
        <x:v>English</x:v>
      </x:c>
      <x:c r="D380" t="str">
        <x:v>Synovitis</x:v>
      </x:c>
      <x:c r="E380" s="21" t="n">
        <x:v>1</x:v>
      </x:c>
      <x:c r="F380" s="21" t="n">
        <x:v>1</x:v>
      </x:c>
      <x:c r="G380" s="21" t="str">
        <x:f>IF(COUNT(F380)=0,"판정없음",IF(E380=F380,"일치",E380&amp;"→"&amp;F380))</x:f>
        <x:v>일치</x:v>
      </x:c>
      <x:c r="H380" t="str">
        <x:v>explicit_positive</x:v>
      </x:c>
      <x:c r="I380" s="9" t="str">
        <x:v>Synovitis of left knee</x:v>
      </x:c>
      <x:c r="J380" s="9" t="str">
        <x:v>True</x:v>
      </x:c>
      <x:c r="K380" s="9" t="str">
        <x:v>suprapatellar bursitis and patellar plicae</x:v>
      </x:c>
      <x:c r="L380" t="str">
        <x:v>gemma4:e4b</x:v>
      </x:c>
    </x:row>
    <x:row r="381" ht="38" customHeight="1">
      <x:c r="A381" t="n">
        <x:v>2076</x:v>
      </x:c>
      <x:c r="B381" t="str">
        <x:v>1.2.826.0.1.3680043.8.498.37392127307867238524251864751713143683</x:v>
      </x:c>
      <x:c r="C381" t="str">
        <x:v>Croatian</x:v>
      </x:c>
      <x:c r="D381" t="str">
        <x:v>ACL</x:v>
      </x:c>
      <x:c r="E381" s="21" t="n">
        <x:v>0</x:v>
      </x:c>
      <x:c r="F381" s="21" t="n">
        <x:v>1</x:v>
      </x:c>
      <x:c r="G381" s="21" t="str">
        <x:f>IF(COUNT(F381)=0,"판정없음",IF(E381=F381,"일치",E381&amp;"→"&amp;F381))</x:f>
        <x:v>0→1</x:v>
      </x:c>
      <x:c r="H381" t="str">
        <x:v>explicit_positive</x:v>
      </x:c>
      <x:c r="I381" s="9" t="str">
        <x:v>Prednji križni ligament je nešto viših intenziteta signala pri tibijalnom hvatištu, moguće stanje nakon distenzije ili manje parcijalne rupture.</x:v>
      </x:c>
      <x:c r="J381" s="9" t="str">
        <x:v>True</x:v>
      </x:c>
      <x:c r="K381" s="9" t="str"/>
      <x:c r="L381" t="str">
        <x:v>gemma4:e4b</x:v>
      </x:c>
    </x:row>
    <x:row r="382" ht="38" customHeight="1">
      <x:c r="A382" t="n">
        <x:v>2076</x:v>
      </x:c>
      <x:c r="B382" t="str">
        <x:v>1.2.826.0.1.3680043.8.498.37392127307867238524251864751713143683</x:v>
      </x:c>
      <x:c r="C382" t="str">
        <x:v>Croatian</x:v>
      </x:c>
      <x:c r="D382" t="str">
        <x:v>Baker's</x:v>
      </x:c>
      <x:c r="E382" s="21" t="n">
        <x:v>0</x:v>
      </x:c>
      <x:c r="F382" s="21" t="n">
        <x:v>1</x:v>
      </x:c>
      <x:c r="G382" s="21" t="str">
        <x:f>IF(COUNT(F382)=0,"판정없음",IF(E382=F382,"일치",E382&amp;"→"&amp;F382))</x:f>
        <x:v>0→1</x:v>
      </x:c>
      <x:c r="H382" t="str">
        <x:v>explicit_positive</x:v>
      </x:c>
      <x:c r="I382" s="9" t="str">
        <x:v>Baker cista veličine oko 22x12x27 mm (APxLLxCC).</x:v>
      </x:c>
      <x:c r="J382" s="9" t="str">
        <x:v>True</x:v>
      </x:c>
      <x:c r="K382" s="9" t="str"/>
      <x:c r="L382" t="str">
        <x:v>gemma4:e4b</x:v>
      </x:c>
    </x:row>
    <x:row r="383" ht="38" customHeight="1">
      <x:c r="A383" t="n">
        <x:v>2076</x:v>
      </x:c>
      <x:c r="B383" t="str">
        <x:v>1.2.826.0.1.3680043.8.498.37392127307867238524251864751713143683</x:v>
      </x:c>
      <x:c r="C383" t="str">
        <x:v>Croatian</x:v>
      </x:c>
      <x:c r="D383" t="str">
        <x:v>Contusion</x:v>
      </x:c>
      <x:c r="E383" s="21" t="n">
        <x:v>1</x:v>
      </x:c>
      <x:c r="F383" s="21" t="n">
        <x:v>1</x:v>
      </x:c>
      <x:c r="G383" s="21" t="str">
        <x:f>IF(COUNT(F383)=0,"판정없음",IF(E383=F383,"일치",E383&amp;"→"&amp;F383))</x:f>
        <x:v>일치</x:v>
      </x:c>
      <x:c r="H383" t="str">
        <x:v>explicit_positive</x:v>
      </x:c>
      <x:c r="I383" s="9" t="str">
        <x:v>Opsežan okolni koštani edem.</x:v>
      </x:c>
      <x:c r="J383" s="9" t="str">
        <x:v>True</x:v>
      </x:c>
      <x:c r="K383" s="9" t="str">
        <x:v>Opsežan okolni koštani edem.</x:v>
      </x:c>
      <x:c r="L383" t="str">
        <x:v>gemma4:e4b</x:v>
      </x:c>
    </x:row>
    <x:row r="384" ht="38" customHeight="1">
      <x:c r="A384" t="n">
        <x:v>2076</x:v>
      </x:c>
      <x:c r="B384" t="str">
        <x:v>1.2.826.0.1.3680043.8.498.37392127307867238524251864751713143683</x:v>
      </x:c>
      <x:c r="C384" t="str">
        <x:v>Croatian</x:v>
      </x:c>
      <x:c r="D384" t="str">
        <x:v>Effusion</x:v>
      </x:c>
      <x:c r="E384" s="21" t="n">
        <x:v>0</x:v>
      </x:c>
      <x:c r="F384" s="21" t="n">
        <x:v>1</x:v>
      </x:c>
      <x:c r="G384" s="21" t="str">
        <x:f>IF(COUNT(F384)=0,"판정없음",IF(E384=F384,"일치",E384&amp;"→"&amp;F384))</x:f>
        <x:v>0→1</x:v>
      </x:c>
      <x:c r="H384" t="str">
        <x:v>explicit_positive</x:v>
      </x:c>
      <x:c r="I384" s="9" t="str">
        <x:v>Manja količina izljeva suprapatelarno i u medijalnom recesusu</x:v>
      </x:c>
      <x:c r="J384" s="9" t="str">
        <x:v>True</x:v>
      </x:c>
      <x:c r="K384" s="9" t="str"/>
      <x:c r="L384" t="str">
        <x:v>gemma4:e4b</x:v>
      </x:c>
    </x:row>
    <x:row r="385" ht="38" customHeight="1">
      <x:c r="A385" t="n">
        <x:v>2076</x:v>
      </x:c>
      <x:c r="B385" t="str">
        <x:v>1.2.826.0.1.3680043.8.498.37392127307867238524251864751713143683</x:v>
      </x:c>
      <x:c r="C385" t="str">
        <x:v>Croatian</x:v>
      </x:c>
      <x:c r="D385" t="str">
        <x:v>Fracture</x:v>
      </x:c>
      <x:c r="E385" s="21" t="n">
        <x:v>1</x:v>
      </x:c>
      <x:c r="F385" s="21" t="n">
        <x:v>1</x:v>
      </x:c>
      <x:c r="G385" s="21" t="str">
        <x:f>IF(COUNT(F385)=0,"판정없음",IF(E385=F385,"일치",E385&amp;"→"&amp;F385))</x:f>
        <x:v>일치</x:v>
      </x:c>
      <x:c r="H385" t="str">
        <x:v>explicit_positive</x:v>
      </x:c>
      <x:c r="I385" s="9" t="str">
        <x:v>moguće u sklopu impresijske frakture.</x:v>
      </x:c>
      <x:c r="J385" s="9" t="str">
        <x:v>True</x:v>
      </x:c>
      <x:c r="K385" s="9" t="str">
        <x:v>Opsežan okolni koštani edem.</x:v>
      </x:c>
      <x:c r="L385" t="str">
        <x:v>gemma4:e4b</x:v>
      </x:c>
    </x:row>
    <x:row r="386" ht="38" customHeight="1">
      <x:c r="A386" t="n">
        <x:v>2076</x:v>
      </x:c>
      <x:c r="B386" t="str">
        <x:v>1.2.826.0.1.3680043.8.498.37392127307867238524251864751713143683</x:v>
      </x:c>
      <x:c r="C386" t="str">
        <x:v>Croatian</x:v>
      </x:c>
      <x:c r="D386" t="str">
        <x:v>Lateral Meniscus</x:v>
      </x:c>
      <x:c r="E386" s="21" t="n">
        <x:v>0</x:v>
      </x:c>
      <x:c r="F386" s="21" t="n">
        <x:v>0</x:v>
      </x:c>
      <x:c r="G386" s="21" t="str">
        <x:f>IF(COUNT(F386)=0,"판정없음",IF(E386=F386,"일치",E386&amp;"→"&amp;F386))</x:f>
        <x:v>일치</x:v>
      </x:c>
      <x:c r="H386" t="str">
        <x:v>explicit_negative</x:v>
      </x:c>
      <x:c r="I386" s="9" t="str">
        <x:v>Lateralni menisk je primjerenih intenziteta signala, bez znakova rupture.</x:v>
      </x:c>
      <x:c r="J386" s="9" t="str">
        <x:v>True</x:v>
      </x:c>
      <x:c r="K386" s="9" t="str"/>
      <x:c r="L386" t="str">
        <x:v>gemma4:e4b</x:v>
      </x:c>
    </x:row>
    <x:row r="387" ht="38" customHeight="1">
      <x:c r="A387" t="n">
        <x:v>2076</x:v>
      </x:c>
      <x:c r="B387" t="str">
        <x:v>1.2.826.0.1.3680043.8.498.37392127307867238524251864751713143683</x:v>
      </x:c>
      <x:c r="C387" t="str">
        <x:v>Croatian</x:v>
      </x:c>
      <x:c r="D387" t="str">
        <x:v>Lateral OA</x:v>
      </x:c>
      <x:c r="E387" s="21" t="n">
        <x:v>0</x:v>
      </x:c>
      <x:c r="F387" s="21"/>
      <x:c r="G387" s="21" t="str">
        <x:f>IF(COUNT(F387)=0,"판정없음",IF(E387=F387,"일치",E387&amp;"→"&amp;F387))</x:f>
        <x:v>판정없음</x:v>
      </x:c>
      <x:c r="H387" t="str">
        <x:v>not_mentioned</x:v>
      </x:c>
      <x:c r="I387" s="9" t="str"/>
      <x:c r="J387" s="9" t="str">
        <x:v>True</x:v>
      </x:c>
      <x:c r="K387" s="9" t="str"/>
      <x:c r="L387" t="str">
        <x:v>gemma4:e4b</x:v>
      </x:c>
    </x:row>
    <x:row r="388" ht="38" customHeight="1">
      <x:c r="A388" t="n">
        <x:v>2076</x:v>
      </x:c>
      <x:c r="B388" t="str">
        <x:v>1.2.826.0.1.3680043.8.498.37392127307867238524251864751713143683</x:v>
      </x:c>
      <x:c r="C388" t="str">
        <x:v>Croatian</x:v>
      </x:c>
      <x:c r="D388" t="str">
        <x:v>MCL</x:v>
      </x:c>
      <x:c r="E388" s="21" t="n">
        <x:v>0</x:v>
      </x:c>
      <x:c r="F388" s="21" t="n">
        <x:v>0</x:v>
      </x:c>
      <x:c r="G388" s="21" t="str">
        <x:f>IF(COUNT(F388)=0,"판정없음",IF(E388=F388,"일치",E388&amp;"→"&amp;F388))</x:f>
        <x:v>일치</x:v>
      </x:c>
      <x:c r="H388" t="str">
        <x:v>explicit_negative</x:v>
      </x:c>
      <x:c r="I388" s="9" t="str">
        <x:v>Medijalni kolateralni ligament je primjerenih intenziteta signala, održanog kontinuiteta.</x:v>
      </x:c>
      <x:c r="J388" s="9" t="str">
        <x:v>True</x:v>
      </x:c>
      <x:c r="K388" s="9" t="str"/>
      <x:c r="L388" t="str">
        <x:v>gemma4:e4b</x:v>
      </x:c>
    </x:row>
    <x:row r="389" ht="38" customHeight="1">
      <x:c r="A389" t="n">
        <x:v>2076</x:v>
      </x:c>
      <x:c r="B389" t="str">
        <x:v>1.2.826.0.1.3680043.8.498.37392127307867238524251864751713143683</x:v>
      </x:c>
      <x:c r="C389" t="str">
        <x:v>Croatian</x:v>
      </x:c>
      <x:c r="D389" t="str">
        <x:v>Medial Meniscus</x:v>
      </x:c>
      <x:c r="E389" s="21" t="n">
        <x:v>0</x:v>
      </x:c>
      <x:c r="F389" s="21"/>
      <x:c r="G389" s="21" t="str">
        <x:f>IF(COUNT(F389)=0,"판정없음",IF(E389=F389,"일치",E389&amp;"→"&amp;F389))</x:f>
        <x:v>판정없음</x:v>
      </x:c>
      <x:c r="H389" t="str">
        <x:v>not_mentioned</x:v>
      </x:c>
      <x:c r="I389" s="9" t="str"/>
      <x:c r="J389" s="9" t="str">
        <x:v>True</x:v>
      </x:c>
      <x:c r="K389" s="9" t="str">
        <x:v>Linearni hiperintenzitet crvene zone stražnjeg roga medijalnog meniska koji može odgovarati vaskularnoj strukturi, bez evidentne rupture.</x:v>
      </x:c>
      <x:c r="L389" t="str">
        <x:v>gemma4:e4b</x:v>
      </x:c>
    </x:row>
    <x:row r="390" ht="38" customHeight="1">
      <x:c r="A390" t="n">
        <x:v>2076</x:v>
      </x:c>
      <x:c r="B390" t="str">
        <x:v>1.2.826.0.1.3680043.8.498.37392127307867238524251864751713143683</x:v>
      </x:c>
      <x:c r="C390" t="str">
        <x:v>Croatian</x:v>
      </x:c>
      <x:c r="D390" t="str">
        <x:v>Medial OA</x:v>
      </x:c>
      <x:c r="E390" s="21" t="n">
        <x:v>0</x:v>
      </x:c>
      <x:c r="F390" s="21"/>
      <x:c r="G390" s="21" t="str">
        <x:f>IF(COUNT(F390)=0,"판정없음",IF(E390=F390,"일치",E390&amp;"→"&amp;F390))</x:f>
        <x:v>판정없음</x:v>
      </x:c>
      <x:c r="H390" t="str">
        <x:v>not_mentioned</x:v>
      </x:c>
      <x:c r="I390" s="9" t="str"/>
      <x:c r="J390" s="9" t="str">
        <x:v>True</x:v>
      </x:c>
      <x:c r="K390" s="9" t="str">
        <x:v>Hondromalacične promjene 1. stupnja hrskavice medijalne fasete patele.</x:v>
      </x:c>
      <x:c r="L390" t="str">
        <x:v>gemma4:e4b</x:v>
      </x:c>
    </x:row>
    <x:row r="391" ht="38" customHeight="1">
      <x:c r="A391" t="n">
        <x:v>2076</x:v>
      </x:c>
      <x:c r="B391" t="str">
        <x:v>1.2.826.0.1.3680043.8.498.37392127307867238524251864751713143683</x:v>
      </x:c>
      <x:c r="C391" t="str">
        <x:v>Croatian</x:v>
      </x:c>
      <x:c r="D391" t="str">
        <x:v>PF OA</x:v>
      </x:c>
      <x:c r="E391" s="21" t="n">
        <x:v>0</x:v>
      </x:c>
      <x:c r="F391" s="21"/>
      <x:c r="G391" s="21" t="str">
        <x:f>IF(COUNT(F391)=0,"판정없음",IF(E391=F391,"일치",E391&amp;"→"&amp;F391))</x:f>
        <x:v>판정없음</x:v>
      </x:c>
      <x:c r="H391" t="str">
        <x:v>not_mentioned</x:v>
      </x:c>
      <x:c r="I391" s="9" t="str"/>
      <x:c r="J391" s="9" t="str">
        <x:v>True</x:v>
      </x:c>
      <x:c r="K391" s="9" t="str">
        <x:v>Hondromalacične promjene 1. stupnja hrskavice medijalne fasete patele.</x:v>
      </x:c>
      <x:c r="L391" t="str">
        <x:v>gemma4:e4b</x:v>
      </x:c>
    </x:row>
    <x:row r="392" ht="38" customHeight="1">
      <x:c r="A392" t="n">
        <x:v>2076</x:v>
      </x:c>
      <x:c r="B392" t="str">
        <x:v>1.2.826.0.1.3680043.8.498.37392127307867238524251864751713143683</x:v>
      </x:c>
      <x:c r="C392" t="str">
        <x:v>Croatian</x:v>
      </x:c>
      <x:c r="D392" t="str">
        <x:v>Synovitis</x:v>
      </x:c>
      <x:c r="E392" s="21" t="n">
        <x:v>0</x:v>
      </x:c>
      <x:c r="F392" s="21"/>
      <x:c r="G392" s="21" t="str">
        <x:f>IF(COUNT(F392)=0,"판정없음",IF(E392=F392,"일치",E392&amp;"→"&amp;F392))</x:f>
        <x:v>판정없음</x:v>
      </x:c>
      <x:c r="H392" t="str">
        <x:v>not_mentioned</x:v>
      </x:c>
      <x:c r="I392" s="9" t="str"/>
      <x:c r="J392" s="9" t="str">
        <x:v>True</x:v>
      </x:c>
      <x:c r="K392" s="9" t="str"/>
      <x:c r="L392" t="str">
        <x:v>gemma4:e4b</x:v>
      </x:c>
    </x:row>
    <x:row r="393" ht="38" customHeight="1">
      <x:c r="A393" t="n">
        <x:v>2180</x:v>
      </x:c>
      <x:c r="B393" t="str">
        <x:v>1.2.826.0.1.3680043.8.498.39500553372517290823815606829518305500</x:v>
      </x:c>
      <x:c r="C393" t="str">
        <x:v>Spanish</x:v>
      </x:c>
      <x:c r="D393" t="str">
        <x:v>ACL</x:v>
      </x:c>
      <x:c r="E393" s="21" t="n">
        <x:v>0</x:v>
      </x:c>
      <x:c r="F393" s="21" t="n">
        <x:v>0</x:v>
      </x:c>
      <x:c r="G393" s="21" t="str">
        <x:f>IF(COUNT(F393)=0,"판정없음",IF(E393=F393,"일치",E393&amp;"→"&amp;F393))</x:f>
        <x:v>일치</x:v>
      </x:c>
      <x:c r="H393" t="str">
        <x:v>explicit_negative</x:v>
      </x:c>
      <x:c r="I393" s="9" t="str">
        <x:v>Ligamentos cruzados y colaterales dentro de límites normales.</x:v>
      </x:c>
      <x:c r="J393" s="9" t="str">
        <x:v>True</x:v>
      </x:c>
      <x:c r="K393" s="9" t="str"/>
      <x:c r="L393" t="str">
        <x:v>gemma4:e4b</x:v>
      </x:c>
    </x:row>
    <x:row r="394" ht="38" customHeight="1">
      <x:c r="A394" t="n">
        <x:v>2180</x:v>
      </x:c>
      <x:c r="B394" t="str">
        <x:v>1.2.826.0.1.3680043.8.498.39500553372517290823815606829518305500</x:v>
      </x:c>
      <x:c r="C394" t="str">
        <x:v>Spanish</x:v>
      </x:c>
      <x:c r="D394" t="str">
        <x:v>Baker's</x:v>
      </x:c>
      <x:c r="E394" s="21" t="n">
        <x:v>0</x:v>
      </x:c>
      <x:c r="F394" s="21" t="n">
        <x:v>0</x:v>
      </x:c>
      <x:c r="G394" s="21" t="str">
        <x:f>IF(COUNT(F394)=0,"판정없음",IF(E394=F394,"일치",E394&amp;"→"&amp;F394))</x:f>
        <x:v>일치</x:v>
      </x:c>
      <x:c r="H394" t="str">
        <x:v>explicit_negative</x:v>
      </x:c>
      <x:c r="I394" s="9" t="str">
        <x:v>No hay quistes poplíteos patológicos.</x:v>
      </x:c>
      <x:c r="J394" s="9" t="str">
        <x:v>True</x:v>
      </x:c>
      <x:c r="K394" s="9" t="str"/>
      <x:c r="L394" t="str">
        <x:v>gemma4:e4b</x:v>
      </x:c>
    </x:row>
    <x:row r="395" ht="38" customHeight="1">
      <x:c r="A395" t="n">
        <x:v>2180</x:v>
      </x:c>
      <x:c r="B395" t="str">
        <x:v>1.2.826.0.1.3680043.8.498.39500553372517290823815606829518305500</x:v>
      </x:c>
      <x:c r="C395" t="str">
        <x:v>Spanish</x:v>
      </x:c>
      <x:c r="D395" t="str">
        <x:v>Contusion</x:v>
      </x:c>
      <x:c r="E395" s="21" t="n">
        <x:v>0</x:v>
      </x:c>
      <x:c r="F395" s="21" t="n">
        <x:v>1</x:v>
      </x:c>
      <x:c r="G395" s="21" t="str">
        <x:f>IF(COUNT(F395)=0,"판정없음",IF(E395=F395,"일치",E395&amp;"→"&amp;F395))</x:f>
        <x:v>0→1</x:v>
      </x:c>
      <x:c r="H395" t="str">
        <x:v>explicit_positive</x:v>
      </x:c>
      <x:c r="I395" s="9" t="str">
        <x:v>Edema óseo periférico posterior de platillo tibial lateral con pequeñas fracturas subcorticales regionales.</x:v>
      </x:c>
      <x:c r="J395" s="9" t="str">
        <x:v>True</x:v>
      </x:c>
      <x:c r="K395" s="9" t="str">
        <x:v>bone contusion</x:v>
      </x:c>
      <x:c r="L395" t="str">
        <x:v>gemma4:e4b</x:v>
      </x:c>
    </x:row>
    <x:row r="396" ht="38" customHeight="1">
      <x:c r="A396" t="n">
        <x:v>2180</x:v>
      </x:c>
      <x:c r="B396" t="str">
        <x:v>1.2.826.0.1.3680043.8.498.39500553372517290823815606829518305500</x:v>
      </x:c>
      <x:c r="C396" t="str">
        <x:v>Spanish</x:v>
      </x:c>
      <x:c r="D396" t="str">
        <x:v>Effusion</x:v>
      </x:c>
      <x:c r="E396" s="21" t="n">
        <x:v>1</x:v>
      </x:c>
      <x:c r="F396" s="21" t="n">
        <x:v>1</x:v>
      </x:c>
      <x:c r="G396" s="21" t="str">
        <x:f>IF(COUNT(F396)=0,"판정없음",IF(E396=F396,"일치",E396&amp;"→"&amp;F396))</x:f>
        <x:v>일치</x:v>
      </x:c>
      <x:c r="H396" t="str">
        <x:v>explicit_positive</x:v>
      </x:c>
      <x:c r="I396" s="9" t="str">
        <x:v>Leve a moderado derrame articular</x:v>
      </x:c>
      <x:c r="J396" s="9" t="str">
        <x:v>True</x:v>
      </x:c>
      <x:c r="K396" s="9" t="str"/>
      <x:c r="L396" t="str">
        <x:v>gemma4:e4b</x:v>
      </x:c>
    </x:row>
    <x:row r="397" ht="38" customHeight="1">
      <x:c r="A397" t="n">
        <x:v>2180</x:v>
      </x:c>
      <x:c r="B397" t="str">
        <x:v>1.2.826.0.1.3680043.8.498.39500553372517290823815606829518305500</x:v>
      </x:c>
      <x:c r="C397" t="str">
        <x:v>Spanish</x:v>
      </x:c>
      <x:c r="D397" t="str">
        <x:v>Fracture</x:v>
      </x:c>
      <x:c r="E397" s="21" t="n">
        <x:v>0</x:v>
      </x:c>
      <x:c r="F397" s="21" t="n">
        <x:v>1</x:v>
      </x:c>
      <x:c r="G397" s="21" t="str">
        <x:f>IF(COUNT(F397)=0,"판정없음",IF(E397=F397,"일치",E397&amp;"→"&amp;F397))</x:f>
        <x:v>0→1</x:v>
      </x:c>
      <x:c r="H397" t="str">
        <x:v>explicit_positive</x:v>
      </x:c>
      <x:c r="I397" s="9" t="str">
        <x:v>pequeñas fracturas subcorticales regionales</x:v>
      </x:c>
      <x:c r="J397" s="9" t="str">
        <x:v>True</x:v>
      </x:c>
      <x:c r="K397" s="9" t="str">
        <x:v>fracture</x:v>
      </x:c>
      <x:c r="L397" t="str">
        <x:v>gemma4:e4b</x:v>
      </x:c>
    </x:row>
    <x:row r="398" ht="38" customHeight="1">
      <x:c r="A398" t="n">
        <x:v>2180</x:v>
      </x:c>
      <x:c r="B398" t="str">
        <x:v>1.2.826.0.1.3680043.8.498.39500553372517290823815606829518305500</x:v>
      </x:c>
      <x:c r="C398" t="str">
        <x:v>Spanish</x:v>
      </x:c>
      <x:c r="D398" t="str">
        <x:v>Lateral Meniscus</x:v>
      </x:c>
      <x:c r="E398" s="21" t="n">
        <x:v>1</x:v>
      </x:c>
      <x:c r="F398" s="21" t="n">
        <x:v>1</x:v>
      </x:c>
      <x:c r="G398" s="21" t="str">
        <x:f>IF(COUNT(F398)=0,"판정없음",IF(E398=F398,"일치",E398&amp;"→"&amp;F398))</x:f>
        <x:v>일치</x:v>
      </x:c>
      <x:c r="H398" t="str">
        <x:v>explicit_positive</x:v>
      </x:c>
      <x:c r="I398" s="9" t="str">
        <x:v>Rotura compleja degenerativa del cuerno anterior, cuerpo , cuerno posterior y raíz meniscal posterior del menisco lateral con extrusión asociada.</x:v>
      </x:c>
      <x:c r="J398" s="9" t="str">
        <x:v>True</x:v>
      </x:c>
      <x:c r="K398" s="9" t="str"/>
      <x:c r="L398" t="str">
        <x:v>gemma4:e4b</x:v>
      </x:c>
    </x:row>
    <x:row r="399" ht="38" customHeight="1">
      <x:c r="A399" t="n">
        <x:v>2180</x:v>
      </x:c>
      <x:c r="B399" t="str">
        <x:v>1.2.826.0.1.3680043.8.498.39500553372517290823815606829518305500</x:v>
      </x:c>
      <x:c r="C399" t="str">
        <x:v>Spanish</x:v>
      </x:c>
      <x:c r="D399" t="str">
        <x:v>Lateral OA</x:v>
      </x:c>
      <x:c r="E399" s="21" t="n">
        <x:v>1</x:v>
      </x:c>
      <x:c r="F399" s="21" t="n">
        <x:v>1</x:v>
      </x:c>
      <x:c r="G399" s="21" t="str">
        <x:f>IF(COUNT(F399)=0,"판정없음",IF(E399=F399,"일치",E399&amp;"→"&amp;F399))</x:f>
        <x:v>일치</x:v>
      </x:c>
      <x:c r="H399" t="str">
        <x:v>explicit_positive</x:v>
      </x:c>
      <x:c r="I399" s="9" t="str">
        <x:v>Úlceras condrales de espesor parcial y total de la región posterior de carga del compartimento femorotibial lateral.</x:v>
      </x:c>
      <x:c r="J399" s="9" t="str">
        <x:v>True</x:v>
      </x:c>
      <x:c r="K399" s="9" t="str"/>
      <x:c r="L399" t="str">
        <x:v>gemma4:e4b</x:v>
      </x:c>
    </x:row>
    <x:row r="400" ht="38" customHeight="1">
      <x:c r="A400" t="n">
        <x:v>2180</x:v>
      </x:c>
      <x:c r="B400" t="str">
        <x:v>1.2.826.0.1.3680043.8.498.39500553372517290823815606829518305500</x:v>
      </x:c>
      <x:c r="C400" t="str">
        <x:v>Spanish</x:v>
      </x:c>
      <x:c r="D400" t="str">
        <x:v>MCL</x:v>
      </x:c>
      <x:c r="E400" s="21" t="n">
        <x:v>0</x:v>
      </x:c>
      <x:c r="F400" s="21" t="n">
        <x:v>0</x:v>
      </x:c>
      <x:c r="G400" s="21" t="str">
        <x:f>IF(COUNT(F400)=0,"판정없음",IF(E400=F400,"일치",E400&amp;"→"&amp;F400))</x:f>
        <x:v>일치</x:v>
      </x:c>
      <x:c r="H400" t="str">
        <x:v>explicit_negative</x:v>
      </x:c>
      <x:c r="I400" s="9" t="str">
        <x:v>Ligamentos cruzados y colaterales dentro de límites normales.</x:v>
      </x:c>
      <x:c r="J400" s="9" t="str">
        <x:v>True</x:v>
      </x:c>
      <x:c r="K400" s="9" t="str"/>
      <x:c r="L400" t="str">
        <x:v>gemma4:e4b</x:v>
      </x:c>
    </x:row>
    <x:row r="401" ht="38" customHeight="1">
      <x:c r="A401" t="n">
        <x:v>2180</x:v>
      </x:c>
      <x:c r="B401" t="str">
        <x:v>1.2.826.0.1.3680043.8.498.39500553372517290823815606829518305500</x:v>
      </x:c>
      <x:c r="C401" t="str">
        <x:v>Spanish</x:v>
      </x:c>
      <x:c r="D401" t="str">
        <x:v>Medial Meniscus</x:v>
      </x:c>
      <x:c r="E401" s="21" t="n">
        <x:v>0</x:v>
      </x:c>
      <x:c r="F401" s="21" t="n">
        <x:v>0</x:v>
      </x:c>
      <x:c r="G401" s="21" t="str">
        <x:f>IF(COUNT(F401)=0,"판정없음",IF(E401=F401,"일치",E401&amp;"→"&amp;F401))</x:f>
        <x:v>일치</x:v>
      </x:c>
      <x:c r="H401" t="str">
        <x:v>explicit_negative</x:v>
      </x:c>
      <x:c r="I401" s="9" t="str">
        <x:v>El menisco medial es de morfología y señal conservada, sin criterios categóricos de rotura.</x:v>
      </x:c>
      <x:c r="J401" s="9" t="str">
        <x:v>True</x:v>
      </x:c>
      <x:c r="K401" s="9" t="str"/>
      <x:c r="L401" t="str">
        <x:v>gemma4:e4b</x:v>
      </x:c>
    </x:row>
    <x:row r="402" ht="38" customHeight="1">
      <x:c r="A402" t="n">
        <x:v>2180</x:v>
      </x:c>
      <x:c r="B402" t="str">
        <x:v>1.2.826.0.1.3680043.8.498.39500553372517290823815606829518305500</x:v>
      </x:c>
      <x:c r="C402" t="str">
        <x:v>Spanish</x:v>
      </x:c>
      <x:c r="D402" t="str">
        <x:v>Medial OA</x:v>
      </x:c>
      <x:c r="E402" s="21" t="n">
        <x:v>0</x:v>
      </x:c>
      <x:c r="F402" s="21"/>
      <x:c r="G402" s="21" t="str">
        <x:f>IF(COUNT(F402)=0,"판정없음",IF(E402=F402,"일치",E402&amp;"→"&amp;F402))</x:f>
        <x:v>판정없음</x:v>
      </x:c>
      <x:c r="H402" t="str">
        <x:v>uncertain_or_indirect</x:v>
      </x:c>
      <x:c r="I402" s="9" t="str">
        <x:v>Condropatía superficial del compartimento femorotibial medial</x:v>
      </x:c>
      <x:c r="J402" s="9" t="str">
        <x:v>True</x:v>
      </x:c>
      <x:c r="K402" s="9" t="str"/>
      <x:c r="L402" t="str">
        <x:v>gemma4:e4b</x:v>
      </x:c>
    </x:row>
    <x:row r="403" ht="38" customHeight="1">
      <x:c r="A403" t="n">
        <x:v>2180</x:v>
      </x:c>
      <x:c r="B403" t="str">
        <x:v>1.2.826.0.1.3680043.8.498.39500553372517290823815606829518305500</x:v>
      </x:c>
      <x:c r="C403" t="str">
        <x:v>Spanish</x:v>
      </x:c>
      <x:c r="D403" t="str">
        <x:v>PF OA</x:v>
      </x:c>
      <x:c r="E403" s="21" t="n">
        <x:v>1</x:v>
      </x:c>
      <x:c r="F403" s="21" t="n">
        <x:v>1</x:v>
      </x:c>
      <x:c r="G403" s="21" t="str">
        <x:f>IF(COUNT(F403)=0,"판정없음",IF(E403=F403,"일치",E403&amp;"→"&amp;F403))</x:f>
        <x:v>일치</x:v>
      </x:c>
      <x:c r="H403" t="str">
        <x:v>explicit_positive</x:v>
      </x:c>
      <x:c r="I403" s="9" t="str">
        <x:v>Úlceras condrales de espesor parcial y prácticamente total de la faceta lateral de la rótula.</x:v>
      </x:c>
      <x:c r="J403" s="9" t="str">
        <x:v>True</x:v>
      </x:c>
      <x:c r="K403" s="9" t="str"/>
      <x:c r="L403" t="str">
        <x:v>gemma4:e4b</x:v>
      </x:c>
    </x:row>
    <x:row r="404" ht="38" customHeight="1">
      <x:c r="A404" t="n">
        <x:v>2180</x:v>
      </x:c>
      <x:c r="B404" t="str">
        <x:v>1.2.826.0.1.3680043.8.498.39500553372517290823815606829518305500</x:v>
      </x:c>
      <x:c r="C404" t="str">
        <x:v>Spanish</x:v>
      </x:c>
      <x:c r="D404" t="str">
        <x:v>Synovitis</x:v>
      </x:c>
      <x:c r="E404" s="21" t="n">
        <x:v>1</x:v>
      </x:c>
      <x:c r="F404" s="21" t="n">
        <x:v>1</x:v>
      </x:c>
      <x:c r="G404" s="21" t="str">
        <x:f>IF(COUNT(F404)=0,"판정없음",IF(E404=F404,"일치",E404&amp;"→"&amp;F404))</x:f>
        <x:v>일치</x:v>
      </x:c>
      <x:c r="H404" t="str">
        <x:v>explicit_positive</x:v>
      </x:c>
      <x:c r="I404" s="9" t="str">
        <x:v>mínima sinovitis</x:v>
      </x:c>
      <x:c r="J404" s="9" t="str">
        <x:v>True</x:v>
      </x:c>
      <x:c r="K404" s="9" t="str"/>
      <x:c r="L404" t="str">
        <x:v>gemma4:e4b</x:v>
      </x:c>
    </x:row>
    <x:row r="405" ht="38" customHeight="1">
      <x:c r="A405" t="n">
        <x:v>2255</x:v>
      </x:c>
      <x:c r="B405" t="str">
        <x:v>1.2.826.0.1.3680043.8.498.41600498783384864111179175518614837125</x:v>
      </x:c>
      <x:c r="C405" t="str">
        <x:v>English</x:v>
      </x:c>
      <x:c r="D405" t="str">
        <x:v>ACL</x:v>
      </x:c>
      <x:c r="E405" s="21" t="n">
        <x:v>1</x:v>
      </x:c>
      <x:c r="F405" s="21" t="n">
        <x:v>1</x:v>
      </x:c>
      <x:c r="G405" s="21" t="str">
        <x:f>IF(COUNT(F405)=0,"판정없음",IF(E405=F405,"일치",E405&amp;"→"&amp;F405))</x:f>
        <x:v>일치</x:v>
      </x:c>
      <x:c r="H405" t="str">
        <x:v>explicit_positive</x:v>
      </x:c>
      <x:c r="I405" s="9" t="str">
        <x:v>acute complete tear of the anterior cruciate ligament, at mid substance</x:v>
      </x:c>
      <x:c r="J405" s="9" t="str">
        <x:v>True</x:v>
      </x:c>
      <x:c r="K405" s="9" t="str">
        <x:v>intercondylar notch</x:v>
      </x:c>
      <x:c r="L405" t="str">
        <x:v>gemma4:e4b</x:v>
      </x:c>
    </x:row>
    <x:row r="406" ht="38" customHeight="1">
      <x:c r="A406" t="n">
        <x:v>2255</x:v>
      </x:c>
      <x:c r="B406" t="str">
        <x:v>1.2.826.0.1.3680043.8.498.41600498783384864111179175518614837125</x:v>
      </x:c>
      <x:c r="C406" t="str">
        <x:v>English</x:v>
      </x:c>
      <x:c r="D406" t="str">
        <x:v>Baker's</x:v>
      </x:c>
      <x:c r="E406" s="21" t="n">
        <x:v>0</x:v>
      </x:c>
      <x:c r="F406" s="21"/>
      <x:c r="G406" s="21" t="str">
        <x:f>IF(COUNT(F406)=0,"판정없음",IF(E406=F406,"일치",E406&amp;"→"&amp;F406))</x:f>
        <x:v>판정없음</x:v>
      </x:c>
      <x:c r="H406" t="str">
        <x:v>not_mentioned</x:v>
      </x:c>
      <x:c r="I406" s="9" t="str"/>
      <x:c r="J406" s="9" t="str">
        <x:v>True</x:v>
      </x:c>
      <x:c r="K406" s="9" t="str"/>
      <x:c r="L406" t="str">
        <x:v>gemma4:e4b</x:v>
      </x:c>
    </x:row>
    <x:row r="407" ht="38" customHeight="1">
      <x:c r="A407" t="n">
        <x:v>2255</x:v>
      </x:c>
      <x:c r="B407" t="str">
        <x:v>1.2.826.0.1.3680043.8.498.41600498783384864111179175518614837125</x:v>
      </x:c>
      <x:c r="C407" t="str">
        <x:v>English</x:v>
      </x:c>
      <x:c r="D407" t="str">
        <x:v>Contusion</x:v>
      </x:c>
      <x:c r="E407" s="21" t="n">
        <x:v>1</x:v>
      </x:c>
      <x:c r="F407" s="21" t="n">
        <x:v>1</x:v>
      </x:c>
      <x:c r="G407" s="21" t="str">
        <x:f>IF(COUNT(F407)=0,"판정없음",IF(E407=F407,"일치",E407&amp;"→"&amp;F407))</x:f>
        <x:v>일치</x:v>
      </x:c>
      <x:c r="H407" t="str">
        <x:v>explicit_positive</x:v>
      </x:c>
      <x:c r="I407" s="9" t="str">
        <x:v>bone contusion at the posterolateral tibial plateau</x:v>
      </x:c>
      <x:c r="J407" s="9" t="str">
        <x:v>True</x:v>
      </x:c>
      <x:c r="K407" s="9" t="str">
        <x:v>posterolateral tibial plateau</x:v>
      </x:c>
      <x:c r="L407" t="str">
        <x:v>gemma4:e4b</x:v>
      </x:c>
    </x:row>
    <x:row r="408" ht="38" customHeight="1">
      <x:c r="A408" t="n">
        <x:v>2255</x:v>
      </x:c>
      <x:c r="B408" t="str">
        <x:v>1.2.826.0.1.3680043.8.498.41600498783384864111179175518614837125</x:v>
      </x:c>
      <x:c r="C408" t="str">
        <x:v>English</x:v>
      </x:c>
      <x:c r="D408" t="str">
        <x:v>Effusion</x:v>
      </x:c>
      <x:c r="E408" s="21" t="n">
        <x:v>0</x:v>
      </x:c>
      <x:c r="F408" s="21" t="n">
        <x:v>1</x:v>
      </x:c>
      <x:c r="G408" s="21" t="str">
        <x:f>IF(COUNT(F408)=0,"판정없음",IF(E408=F408,"일치",E408&amp;"→"&amp;F408))</x:f>
        <x:v>0→1</x:v>
      </x:c>
      <x:c r="H408" t="str">
        <x:v>explicit_positive</x:v>
      </x:c>
      <x:c r="I408" s="9" t="str">
        <x:v>Minimal amount of right knee effusion</x:v>
      </x:c>
      <x:c r="J408" s="9" t="str">
        <x:v>True</x:v>
      </x:c>
      <x:c r="K408" s="9" t="str"/>
      <x:c r="L408" t="str">
        <x:v>gemma4:e4b</x:v>
      </x:c>
    </x:row>
    <x:row r="409" ht="38" customHeight="1">
      <x:c r="A409" t="n">
        <x:v>2255</x:v>
      </x:c>
      <x:c r="B409" t="str">
        <x:v>1.2.826.0.1.3680043.8.498.41600498783384864111179175518614837125</x:v>
      </x:c>
      <x:c r="C409" t="str">
        <x:v>English</x:v>
      </x:c>
      <x:c r="D409" t="str">
        <x:v>Fracture</x:v>
      </x:c>
      <x:c r="E409" s="21" t="n">
        <x:v>0</x:v>
      </x:c>
      <x:c r="F409" s="21"/>
      <x:c r="G409" s="21" t="str">
        <x:f>IF(COUNT(F409)=0,"판정없음",IF(E409=F409,"일치",E409&amp;"→"&amp;F409))</x:f>
        <x:v>판정없음</x:v>
      </x:c>
      <x:c r="H409" t="str">
        <x:v>not_mentioned</x:v>
      </x:c>
      <x:c r="I409" s="9" t="str"/>
      <x:c r="J409" s="9" t="str">
        <x:v>True</x:v>
      </x:c>
      <x:c r="K409" s="9" t="str"/>
      <x:c r="L409" t="str">
        <x:v>gemma4:e4b</x:v>
      </x:c>
    </x:row>
    <x:row r="410" ht="38" customHeight="1">
      <x:c r="A410" t="n">
        <x:v>2255</x:v>
      </x:c>
      <x:c r="B410" t="str">
        <x:v>1.2.826.0.1.3680043.8.498.41600498783384864111179175518614837125</x:v>
      </x:c>
      <x:c r="C410" t="str">
        <x:v>English</x:v>
      </x:c>
      <x:c r="D410" t="str">
        <x:v>Lateral Meniscus</x:v>
      </x:c>
      <x:c r="E410" s="21" t="n">
        <x:v>0</x:v>
      </x:c>
      <x:c r="F410" s="21" t="n">
        <x:v>1</x:v>
      </x:c>
      <x:c r="G410" s="21" t="str">
        <x:f>IF(COUNT(F410)=0,"판정없음",IF(E410=F410,"일치",E410&amp;"→"&amp;F410))</x:f>
        <x:v>0→1</x:v>
      </x:c>
      <x:c r="H410" t="str">
        <x:v>explicit_positive</x:v>
      </x:c>
      <x:c r="I410" s="9" t="str">
        <x:v>suspicious small longitudinal vertical tear at the periphery posterior horn of the lateral meniscus</x:v>
      </x:c>
      <x:c r="J410" s="9" t="str">
        <x:v>True</x:v>
      </x:c>
      <x:c r="K410" s="9" t="str">
        <x:v>periphery posterior horn</x:v>
      </x:c>
      <x:c r="L410" t="str">
        <x:v>gemma4:e4b</x:v>
      </x:c>
    </x:row>
    <x:row r="411" ht="38" customHeight="1">
      <x:c r="A411" t="n">
        <x:v>2255</x:v>
      </x:c>
      <x:c r="B411" t="str">
        <x:v>1.2.826.0.1.3680043.8.498.41600498783384864111179175518614837125</x:v>
      </x:c>
      <x:c r="C411" t="str">
        <x:v>English</x:v>
      </x:c>
      <x:c r="D411" t="str">
        <x:v>Lateral OA</x:v>
      </x:c>
      <x:c r="E411" s="21" t="n">
        <x:v>0</x:v>
      </x:c>
      <x:c r="F411" s="21"/>
      <x:c r="G411" s="21" t="str">
        <x:f>IF(COUNT(F411)=0,"판정없음",IF(E411=F411,"일치",E411&amp;"→"&amp;F411))</x:f>
        <x:v>판정없음</x:v>
      </x:c>
      <x:c r="H411" t="str">
        <x:v>not_mentioned</x:v>
      </x:c>
      <x:c r="I411" s="9" t="str"/>
      <x:c r="J411" s="9" t="str">
        <x:v>True</x:v>
      </x:c>
      <x:c r="K411" s="9" t="str"/>
      <x:c r="L411" t="str">
        <x:v>gemma4:e4b</x:v>
      </x:c>
    </x:row>
    <x:row r="412" ht="38" customHeight="1">
      <x:c r="A412" t="n">
        <x:v>2255</x:v>
      </x:c>
      <x:c r="B412" t="str">
        <x:v>1.2.826.0.1.3680043.8.498.41600498783384864111179175518614837125</x:v>
      </x:c>
      <x:c r="C412" t="str">
        <x:v>English</x:v>
      </x:c>
      <x:c r="D412" t="str">
        <x:v>MCL</x:v>
      </x:c>
      <x:c r="E412" s="21" t="n">
        <x:v>0</x:v>
      </x:c>
      <x:c r="F412" s="21" t="n">
        <x:v>1</x:v>
      </x:c>
      <x:c r="G412" s="21" t="str">
        <x:f>IF(COUNT(F412)=0,"판정없음",IF(E412=F412,"일치",E412&amp;"→"&amp;F412))</x:f>
        <x:v>0→1</x:v>
      </x:c>
      <x:c r="H412" t="str">
        <x:v>explicit_positive</x:v>
      </x:c>
      <x:c r="I412" s="9" t="str">
        <x:v>Grade II ligamentous sprain (partial tear) of the medial collateral ligament, at mid substance (deep and superficial fibers)</x:v>
      </x:c>
      <x:c r="J412" s="9" t="str">
        <x:v>True</x:v>
      </x:c>
      <x:c r="K412" s="9" t="str">
        <x:v>mid substance</x:v>
      </x:c>
      <x:c r="L412" t="str">
        <x:v>gemma4:e4b</x:v>
      </x:c>
    </x:row>
    <x:row r="413" ht="38" customHeight="1">
      <x:c r="A413" t="n">
        <x:v>2255</x:v>
      </x:c>
      <x:c r="B413" t="str">
        <x:v>1.2.826.0.1.3680043.8.498.41600498783384864111179175518614837125</x:v>
      </x:c>
      <x:c r="C413" t="str">
        <x:v>English</x:v>
      </x:c>
      <x:c r="D413" t="str">
        <x:v>Medial Meniscus</x:v>
      </x:c>
      <x:c r="E413" s="21" t="n">
        <x:v>1</x:v>
      </x:c>
      <x:c r="F413" s="21" t="n">
        <x:v>1</x:v>
      </x:c>
      <x:c r="G413" s="21" t="str">
        <x:f>IF(COUNT(F413)=0,"판정없음",IF(E413=F413,"일치",E413&amp;"→"&amp;F413))</x:f>
        <x:v>일치</x:v>
      </x:c>
      <x:c r="H413" t="str">
        <x:v>explicit_positive</x:v>
      </x:c>
      <x:c r="I413" s="9" t="str">
        <x:v>buckethandle tear at the anterior horn, body and posterior horn of the medial meniscus</x:v>
      </x:c>
      <x:c r="J413" s="9" t="str">
        <x:v>True</x:v>
      </x:c>
      <x:c r="K413" s="9" t="str">
        <x:v>intercondylar notch</x:v>
      </x:c>
      <x:c r="L413" t="str">
        <x:v>gemma4:e4b</x:v>
      </x:c>
    </x:row>
    <x:row r="414" ht="38" customHeight="1">
      <x:c r="A414" t="n">
        <x:v>2255</x:v>
      </x:c>
      <x:c r="B414" t="str">
        <x:v>1.2.826.0.1.3680043.8.498.41600498783384864111179175518614837125</x:v>
      </x:c>
      <x:c r="C414" t="str">
        <x:v>English</x:v>
      </x:c>
      <x:c r="D414" t="str">
        <x:v>Medial OA</x:v>
      </x:c>
      <x:c r="E414" s="21" t="n">
        <x:v>0</x:v>
      </x:c>
      <x:c r="F414" s="21"/>
      <x:c r="G414" s="21" t="str">
        <x:f>IF(COUNT(F414)=0,"판정없음",IF(E414=F414,"일치",E414&amp;"→"&amp;F414))</x:f>
        <x:v>판정없음</x:v>
      </x:c>
      <x:c r="H414" t="str">
        <x:v>not_mentioned</x:v>
      </x:c>
      <x:c r="I414" s="9" t="str"/>
      <x:c r="J414" s="9" t="str">
        <x:v>True</x:v>
      </x:c>
      <x:c r="K414" s="9" t="str"/>
      <x:c r="L414" t="str">
        <x:v>gemma4:e4b</x:v>
      </x:c>
    </x:row>
    <x:row r="415" ht="38" customHeight="1">
      <x:c r="A415" t="n">
        <x:v>2255</x:v>
      </x:c>
      <x:c r="B415" t="str">
        <x:v>1.2.826.0.1.3680043.8.498.41600498783384864111179175518614837125</x:v>
      </x:c>
      <x:c r="C415" t="str">
        <x:v>English</x:v>
      </x:c>
      <x:c r="D415" t="str">
        <x:v>PF OA</x:v>
      </x:c>
      <x:c r="E415" s="21" t="n">
        <x:v>0</x:v>
      </x:c>
      <x:c r="F415" s="21" t="n">
        <x:v>0</x:v>
      </x:c>
      <x:c r="G415" s="21" t="str">
        <x:f>IF(COUNT(F415)=0,"판정없음",IF(E415=F415,"일치",E415&amp;"→"&amp;F415))</x:f>
        <x:v>일치</x:v>
      </x:c>
      <x:c r="H415" t="str">
        <x:v>explicit_negative</x:v>
      </x:c>
      <x:c r="I415" s="9" t="str">
        <x:v>the patellar and trochlear cartilage appears congruent without chondral lesion</x:v>
      </x:c>
      <x:c r="J415" s="9" t="str">
        <x:v>True</x:v>
      </x:c>
      <x:c r="K415" s="9" t="str">
        <x:v>patellofemoral joint</x:v>
      </x:c>
      <x:c r="L415" t="str">
        <x:v>gemma4:e4b</x:v>
      </x:c>
    </x:row>
    <x:row r="416" ht="38" customHeight="1">
      <x:c r="A416" t="n">
        <x:v>2255</x:v>
      </x:c>
      <x:c r="B416" t="str">
        <x:v>1.2.826.0.1.3680043.8.498.41600498783384864111179175518614837125</x:v>
      </x:c>
      <x:c r="C416" t="str">
        <x:v>English</x:v>
      </x:c>
      <x:c r="D416" t="str">
        <x:v>Synovitis</x:v>
      </x:c>
      <x:c r="E416" s="21" t="n">
        <x:v>0</x:v>
      </x:c>
      <x:c r="F416" s="21"/>
      <x:c r="G416" s="21" t="str">
        <x:f>IF(COUNT(F416)=0,"판정없음",IF(E416=F416,"일치",E416&amp;"→"&amp;F416))</x:f>
        <x:v>판정없음</x:v>
      </x:c>
      <x:c r="H416" t="str">
        <x:v>not_mentioned</x:v>
      </x:c>
      <x:c r="I416" s="9" t="str"/>
      <x:c r="J416" s="9" t="str">
        <x:v>True</x:v>
      </x:c>
      <x:c r="K416" s="9" t="str"/>
      <x:c r="L416" t="str">
        <x:v>gemma4:e4b</x:v>
      </x:c>
    </x:row>
    <x:row r="417" ht="38" customHeight="1">
      <x:c r="A417" t="n">
        <x:v>2472</x:v>
      </x:c>
      <x:c r="B417" t="str">
        <x:v>1.2.826.0.1.3680043.8.498.47921753480592595198052407850568677187</x:v>
      </x:c>
      <x:c r="C417" t="str">
        <x:v>Turkish</x:v>
      </x:c>
      <x:c r="D417" t="str">
        <x:v>ACL</x:v>
      </x:c>
      <x:c r="E417" s="21" t="n">
        <x:v>0</x:v>
      </x:c>
      <x:c r="F417" s="21"/>
      <x:c r="G417" s="21" t="str">
        <x:f>IF(COUNT(F417)=0,"판정없음",IF(E417=F417,"일치",E417&amp;"→"&amp;F417))</x:f>
        <x:v>판정없음</x:v>
      </x:c>
      <x:c r="H417" t="str">
        <x:v>uncertain_or_indirect</x:v>
      </x:c>
      <x:c r="I417" s="9" t="str">
        <x:v>diffüz sinyal artışı izlendi(miksoid dejenerasyon)</x:v>
      </x:c>
      <x:c r="J417" s="9" t="str">
        <x:v>True</x:v>
      </x:c>
      <x:c r="K417" s="9" t="str">
        <x:v>anterior cruciate ligament</x:v>
      </x:c>
      <x:c r="L417" t="str">
        <x:v>gemma4:e4b</x:v>
      </x:c>
    </x:row>
    <x:row r="418" ht="38" customHeight="1">
      <x:c r="A418" t="n">
        <x:v>2472</x:v>
      </x:c>
      <x:c r="B418" t="str">
        <x:v>1.2.826.0.1.3680043.8.498.47921753480592595198052407850568677187</x:v>
      </x:c>
      <x:c r="C418" t="str">
        <x:v>Turkish</x:v>
      </x:c>
      <x:c r="D418" t="str">
        <x:v>Baker's</x:v>
      </x:c>
      <x:c r="E418" s="21" t="n">
        <x:v>0</x:v>
      </x:c>
      <x:c r="F418" s="21"/>
      <x:c r="G418" s="21" t="str">
        <x:f>IF(COUNT(F418)=0,"판정없음",IF(E418=F418,"일치",E418&amp;"→"&amp;F418))</x:f>
        <x:v>판정없음</x:v>
      </x:c>
      <x:c r="H418" t="str">
        <x:v>not_mentioned</x:v>
      </x:c>
      <x:c r="I418" s="9" t="str"/>
      <x:c r="J418" s="9" t="str">
        <x:v>True</x:v>
      </x:c>
      <x:c r="K418" s="9" t="str"/>
      <x:c r="L418" t="str">
        <x:v>gemma4:e4b</x:v>
      </x:c>
    </x:row>
    <x:row r="419" ht="38" customHeight="1">
      <x:c r="A419" t="n">
        <x:v>2472</x:v>
      </x:c>
      <x:c r="B419" t="str">
        <x:v>1.2.826.0.1.3680043.8.498.47921753480592595198052407850568677187</x:v>
      </x:c>
      <x:c r="C419" t="str">
        <x:v>Turkish</x:v>
      </x:c>
      <x:c r="D419" t="str">
        <x:v>Contusion</x:v>
      </x:c>
      <x:c r="E419" s="21" t="n">
        <x:v>0</x:v>
      </x:c>
      <x:c r="F419" s="21" t="n">
        <x:v>1</x:v>
      </x:c>
      <x:c r="G419" s="21" t="str">
        <x:f>IF(COUNT(F419)=0,"판정없음",IF(E419=F419,"일치",E419&amp;"→"&amp;F419))</x:f>
        <x:v>0→1</x:v>
      </x:c>
      <x:c r="H419" t="str">
        <x:v>explicit_positive</x:v>
      </x:c>
      <x:c r="I419" s="9" t="str">
        <x:v>komşu kemikte yaygın ödem izlendi</x:v>
      </x:c>
      <x:c r="J419" s="9" t="str">
        <x:v>True</x:v>
      </x:c>
      <x:c r="K419" s="9" t="str">
        <x:v>bone contusion</x:v>
      </x:c>
      <x:c r="L419" t="str">
        <x:v>gemma4:e4b</x:v>
      </x:c>
    </x:row>
    <x:row r="420" ht="38" customHeight="1">
      <x:c r="A420" t="n">
        <x:v>2472</x:v>
      </x:c>
      <x:c r="B420" t="str">
        <x:v>1.2.826.0.1.3680043.8.498.47921753480592595198052407850568677187</x:v>
      </x:c>
      <x:c r="C420" t="str">
        <x:v>Turkish</x:v>
      </x:c>
      <x:c r="D420" t="str">
        <x:v>Effusion</x:v>
      </x:c>
      <x:c r="E420" s="21" t="n">
        <x:v>1</x:v>
      </x:c>
      <x:c r="F420" s="21" t="n">
        <x:v>1</x:v>
      </x:c>
      <x:c r="G420" s="21" t="str">
        <x:f>IF(COUNT(F420)=0,"판정없음",IF(E420=F420,"일치",E420&amp;"→"&amp;F420))</x:f>
        <x:v>일치</x:v>
      </x:c>
      <x:c r="H420" t="str">
        <x:v>explicit_positive</x:v>
      </x:c>
      <x:c r="I420" s="9" t="str">
        <x:v>Suprapatellar bursada ,diz eklemi içerisinde yaygın sıvı artışı izlendi</x:v>
      </x:c>
      <x:c r="J420" s="9" t="str">
        <x:v>True</x:v>
      </x:c>
      <x:c r="K420" s="9" t="str">
        <x:v>knee joint effusion</x:v>
      </x:c>
      <x:c r="L420" t="str">
        <x:v>gemma4:e4b</x:v>
      </x:c>
    </x:row>
    <x:row r="421" ht="38" customHeight="1">
      <x:c r="A421" t="n">
        <x:v>2472</x:v>
      </x:c>
      <x:c r="B421" t="str">
        <x:v>1.2.826.0.1.3680043.8.498.47921753480592595198052407850568677187</x:v>
      </x:c>
      <x:c r="C421" t="str">
        <x:v>Turkish</x:v>
      </x:c>
      <x:c r="D421" t="str">
        <x:v>Fracture</x:v>
      </x:c>
      <x:c r="E421" s="21" t="n">
        <x:v>1</x:v>
      </x:c>
      <x:c r="F421" s="21" t="n">
        <x:v>1</x:v>
      </x:c>
      <x:c r="G421" s="21" t="str">
        <x:f>IF(COUNT(F421)=0,"판정없음",IF(E421=F421,"일치",E421&amp;"→"&amp;F421))</x:f>
        <x:v>일치</x:v>
      </x:c>
      <x:c r="H421" t="str">
        <x:v>explicit_positive</x:v>
      </x:c>
      <x:c r="I421" s="9" t="str">
        <x:v>subartiküler fraktür hattı</x:v>
      </x:c>
      <x:c r="J421" s="9" t="str">
        <x:v>True</x:v>
      </x:c>
      <x:c r="K421" s="9" t="str">
        <x:v>fracture</x:v>
      </x:c>
      <x:c r="L421" t="str">
        <x:v>gemma4:e4b</x:v>
      </x:c>
    </x:row>
    <x:row r="422" ht="38" customHeight="1">
      <x:c r="A422" t="n">
        <x:v>2472</x:v>
      </x:c>
      <x:c r="B422" t="str">
        <x:v>1.2.826.0.1.3680043.8.498.47921753480592595198052407850568677187</x:v>
      </x:c>
      <x:c r="C422" t="str">
        <x:v>Turkish</x:v>
      </x:c>
      <x:c r="D422" t="str">
        <x:v>Lateral Meniscus</x:v>
      </x:c>
      <x:c r="E422" s="21" t="n">
        <x:v>0</x:v>
      </x:c>
      <x:c r="F422" s="21"/>
      <x:c r="G422" s="21" t="str">
        <x:f>IF(COUNT(F422)=0,"판정없음",IF(E422=F422,"일치",E422&amp;"→"&amp;F422))</x:f>
        <x:v>판정없음</x:v>
      </x:c>
      <x:c r="H422" t="str">
        <x:v>uncertain_or_indirect</x:v>
      </x:c>
      <x:c r="I422" s="9" t="str">
        <x:v>Lateral menisküste grade I dejenerasyon izlendi</x:v>
      </x:c>
      <x:c r="J422" s="9" t="str">
        <x:v>True</x:v>
      </x:c>
      <x:c r="K422" s="9" t="str">
        <x:v>lateral meniscus</x:v>
      </x:c>
      <x:c r="L422" t="str">
        <x:v>gemma4:e4b</x:v>
      </x:c>
    </x:row>
    <x:row r="423" ht="38" customHeight="1">
      <x:c r="A423" t="n">
        <x:v>2472</x:v>
      </x:c>
      <x:c r="B423" t="str">
        <x:v>1.2.826.0.1.3680043.8.498.47921753480592595198052407850568677187</x:v>
      </x:c>
      <x:c r="C423" t="str">
        <x:v>Turkish</x:v>
      </x:c>
      <x:c r="D423" t="str">
        <x:v>Lateral OA</x:v>
      </x:c>
      <x:c r="E423" s="21" t="n">
        <x:v>0</x:v>
      </x:c>
      <x:c r="F423" s="21"/>
      <x:c r="G423" s="21" t="str">
        <x:f>IF(COUNT(F423)=0,"판정없음",IF(E423=F423,"일치",E423&amp;"→"&amp;F423))</x:f>
        <x:v>판정없음</x:v>
      </x:c>
      <x:c r="H423" t="str">
        <x:v>not_mentioned</x:v>
      </x:c>
      <x:c r="I423" s="9" t="str"/>
      <x:c r="J423" s="9" t="str">
        <x:v>True</x:v>
      </x:c>
      <x:c r="K423" s="9" t="str"/>
      <x:c r="L423" t="str">
        <x:v>gemma4:e4b</x:v>
      </x:c>
    </x:row>
    <x:row r="424" ht="38" customHeight="1">
      <x:c r="A424" t="n">
        <x:v>2472</x:v>
      </x:c>
      <x:c r="B424" t="str">
        <x:v>1.2.826.0.1.3680043.8.498.47921753480592595198052407850568677187</x:v>
      </x:c>
      <x:c r="C424" t="str">
        <x:v>Turkish</x:v>
      </x:c>
      <x:c r="D424" t="str">
        <x:v>MCL</x:v>
      </x:c>
      <x:c r="E424" s="21" t="n">
        <x:v>0</x:v>
      </x:c>
      <x:c r="F424" s="21" t="n">
        <x:v>1</x:v>
      </x:c>
      <x:c r="G424" s="21" t="str">
        <x:f>IF(COUNT(F424)=0,"판정없음",IF(E424=F424,"일치",E424&amp;"→"&amp;F424))</x:f>
        <x:v>0→1</x:v>
      </x:c>
      <x:c r="H424" t="str">
        <x:v>explicit_positive</x:v>
      </x:c>
      <x:c r="I424" s="9" t="str">
        <x:v>Medial kollateral ligamen çevresinde ödematöz görünüm mevcuttur ( grade I sprain )</x:v>
      </x:c>
      <x:c r="J424" s="9" t="str">
        <x:v>True</x:v>
      </x:c>
      <x:c r="K424" s="9" t="str">
        <x:v>medial collateral ligament</x:v>
      </x:c>
      <x:c r="L424" t="str">
        <x:v>gemma4:e4b</x:v>
      </x:c>
    </x:row>
    <x:row r="425" ht="38" customHeight="1">
      <x:c r="A425" t="n">
        <x:v>2472</x:v>
      </x:c>
      <x:c r="B425" t="str">
        <x:v>1.2.826.0.1.3680043.8.498.47921753480592595198052407850568677187</x:v>
      </x:c>
      <x:c r="C425" t="str">
        <x:v>Turkish</x:v>
      </x:c>
      <x:c r="D425" t="str">
        <x:v>Medial Meniscus</x:v>
      </x:c>
      <x:c r="E425" s="21" t="n">
        <x:v>1</x:v>
      </x:c>
      <x:c r="F425" s="21" t="n">
        <x:v>1</x:v>
      </x:c>
      <x:c r="G425" s="21" t="str">
        <x:f>IF(COUNT(F425)=0,"판정없음",IF(E425=F425,"일치",E425&amp;"→"&amp;F425))</x:f>
        <x:v>일치</x:v>
      </x:c>
      <x:c r="H425" t="str">
        <x:v>explicit_positive</x:v>
      </x:c>
      <x:c r="I425" s="9" t="str">
        <x:v>Medial menisküs posterior hornda grade III dejenerasyon ve horizontal yırtık izlendi</x:v>
      </x:c>
      <x:c r="J425" s="9" t="str">
        <x:v>True</x:v>
      </x:c>
      <x:c r="K425" s="9" t="str">
        <x:v>medial meniscus</x:v>
      </x:c>
      <x:c r="L425" t="str">
        <x:v>gemma4:e4b</x:v>
      </x:c>
    </x:row>
    <x:row r="426" ht="38" customHeight="1">
      <x:c r="A426" t="n">
        <x:v>2472</x:v>
      </x:c>
      <x:c r="B426" t="str">
        <x:v>1.2.826.0.1.3680043.8.498.47921753480592595198052407850568677187</x:v>
      </x:c>
      <x:c r="C426" t="str">
        <x:v>Turkish</x:v>
      </x:c>
      <x:c r="D426" t="str">
        <x:v>Medial OA</x:v>
      </x:c>
      <x:c r="E426" s="21" t="n">
        <x:v>0</x:v>
      </x:c>
      <x:c r="F426" s="21"/>
      <x:c r="G426" s="21" t="str">
        <x:f>IF(COUNT(F426)=0,"판정없음",IF(E426=F426,"일치",E426&amp;"→"&amp;F426))</x:f>
        <x:v>판정없음</x:v>
      </x:c>
      <x:c r="H426" t="str">
        <x:v>not_mentioned</x:v>
      </x:c>
      <x:c r="I426" s="9" t="str"/>
      <x:c r="J426" s="9" t="str">
        <x:v>True</x:v>
      </x:c>
      <x:c r="K426" s="9" t="str"/>
      <x:c r="L426" t="str">
        <x:v>gemma4:e4b</x:v>
      </x:c>
    </x:row>
    <x:row r="427" ht="38" customHeight="1">
      <x:c r="A427" t="n">
        <x:v>2472</x:v>
      </x:c>
      <x:c r="B427" t="str">
        <x:v>1.2.826.0.1.3680043.8.498.47921753480592595198052407850568677187</x:v>
      </x:c>
      <x:c r="C427" t="str">
        <x:v>Turkish</x:v>
      </x:c>
      <x:c r="D427" t="str">
        <x:v>PF OA</x:v>
      </x:c>
      <x:c r="E427" s="21" t="n">
        <x:v>0</x:v>
      </x:c>
      <x:c r="F427" s="21"/>
      <x:c r="G427" s="21" t="str">
        <x:f>IF(COUNT(F427)=0,"판정없음",IF(E427=F427,"일치",E427&amp;"→"&amp;F427))</x:f>
        <x:v>판정없음</x:v>
      </x:c>
      <x:c r="H427" t="str">
        <x:v>not_mentioned</x:v>
      </x:c>
      <x:c r="I427" s="9" t="str"/>
      <x:c r="J427" s="9" t="str">
        <x:v>True</x:v>
      </x:c>
      <x:c r="K427" s="9" t="str"/>
      <x:c r="L427" t="str">
        <x:v>gemma4:e4b</x:v>
      </x:c>
    </x:row>
    <x:row r="428" ht="38" customHeight="1">
      <x:c r="A428" t="n">
        <x:v>2472</x:v>
      </x:c>
      <x:c r="B428" t="str">
        <x:v>1.2.826.0.1.3680043.8.498.47921753480592595198052407850568677187</x:v>
      </x:c>
      <x:c r="C428" t="str">
        <x:v>Turkish</x:v>
      </x:c>
      <x:c r="D428" t="str">
        <x:v>Synovitis</x:v>
      </x:c>
      <x:c r="E428" s="21" t="n">
        <x:v>1</x:v>
      </x:c>
      <x:c r="F428" s="21"/>
      <x:c r="G428" s="21" t="str">
        <x:f>IF(COUNT(F428)=0,"판정없음",IF(E428=F428,"일치",E428&amp;"→"&amp;F428))</x:f>
        <x:v>판정없음</x:v>
      </x:c>
      <x:c r="H428" t="str">
        <x:v>not_mentioned</x:v>
      </x:c>
      <x:c r="I428" s="9" t="str"/>
      <x:c r="J428" s="9" t="str">
        <x:v>True</x:v>
      </x:c>
      <x:c r="K428" s="9" t="str"/>
      <x:c r="L428" t="str">
        <x:v>gemma4:e4b</x:v>
      </x:c>
    </x:row>
    <x:row r="429" ht="38" customHeight="1">
      <x:c r="A429" t="n">
        <x:v>2480</x:v>
      </x:c>
      <x:c r="B429" t="str">
        <x:v>1.2.826.0.1.3680043.8.498.48348615349418615469875801439348424274</x:v>
      </x:c>
      <x:c r="C429" t="str">
        <x:v>Spanish</x:v>
      </x:c>
      <x:c r="D429" t="str">
        <x:v>ACL</x:v>
      </x:c>
      <x:c r="E429" s="21" t="n">
        <x:v>0</x:v>
      </x:c>
      <x:c r="F429" s="21"/>
      <x:c r="G429" s="21" t="str">
        <x:f>IF(COUNT(F429)=0,"판정없음",IF(E429=F429,"일치",E429&amp;"→"&amp;F429))</x:f>
        <x:v>판정없음</x:v>
      </x:c>
      <x:c r="H429" t="str">
        <x:v>not_mentioned</x:v>
      </x:c>
      <x:c r="I429" s="9" t="str"/>
      <x:c r="J429" s="9" t="str">
        <x:v>True</x:v>
      </x:c>
      <x:c r="K429" s="9" t="str"/>
      <x:c r="L429" t="str">
        <x:v>gemma4:e4b</x:v>
      </x:c>
    </x:row>
    <x:row r="430" ht="38" customHeight="1">
      <x:c r="A430" t="n">
        <x:v>2480</x:v>
      </x:c>
      <x:c r="B430" t="str">
        <x:v>1.2.826.0.1.3680043.8.498.48348615349418615469875801439348424274</x:v>
      </x:c>
      <x:c r="C430" t="str">
        <x:v>Spanish</x:v>
      </x:c>
      <x:c r="D430" t="str">
        <x:v>Baker's</x:v>
      </x:c>
      <x:c r="E430" s="21" t="n">
        <x:v>0</x:v>
      </x:c>
      <x:c r="F430" s="21" t="n">
        <x:v>1</x:v>
      </x:c>
      <x:c r="G430" s="21" t="str">
        <x:f>IF(COUNT(F430)=0,"판정없음",IF(E430=F430,"일치",E430&amp;"→"&amp;F430))</x:f>
        <x:v>0→1</x:v>
      </x:c>
      <x:c r="H430" t="str">
        <x:v>explicit_positive</x:v>
      </x:c>
      <x:c r="I430" s="9" t="str">
        <x:v>Pequeño quiste poplíteo</x:v>
      </x:c>
      <x:c r="J430" s="9" t="str">
        <x:v>True</x:v>
      </x:c>
      <x:c r="K430" s="9" t="str"/>
      <x:c r="L430" t="str">
        <x:v>gemma4:e4b</x:v>
      </x:c>
    </x:row>
    <x:row r="431" ht="38" customHeight="1">
      <x:c r="A431" t="n">
        <x:v>2480</x:v>
      </x:c>
      <x:c r="B431" t="str">
        <x:v>1.2.826.0.1.3680043.8.498.48348615349418615469875801439348424274</x:v>
      </x:c>
      <x:c r="C431" t="str">
        <x:v>Spanish</x:v>
      </x:c>
      <x:c r="D431" t="str">
        <x:v>Contusion</x:v>
      </x:c>
      <x:c r="E431" s="21" t="n">
        <x:v>0</x:v>
      </x:c>
      <x:c r="F431" s="21"/>
      <x:c r="G431" s="21" t="str">
        <x:f>IF(COUNT(F431)=0,"판정없음",IF(E431=F431,"일치",E431&amp;"→"&amp;F431))</x:f>
        <x:v>판정없음</x:v>
      </x:c>
      <x:c r="H431" t="str">
        <x:v>not_mentioned</x:v>
      </x:c>
      <x:c r="I431" s="9" t="str"/>
      <x:c r="J431" s="9" t="str">
        <x:v>True</x:v>
      </x:c>
      <x:c r="K431" s="9" t="str"/>
      <x:c r="L431" t="str">
        <x:v>gemma4:e4b</x:v>
      </x:c>
    </x:row>
    <x:row r="432" ht="38" customHeight="1">
      <x:c r="A432" t="n">
        <x:v>2480</x:v>
      </x:c>
      <x:c r="B432" t="str">
        <x:v>1.2.826.0.1.3680043.8.498.48348615349418615469875801439348424274</x:v>
      </x:c>
      <x:c r="C432" t="str">
        <x:v>Spanish</x:v>
      </x:c>
      <x:c r="D432" t="str">
        <x:v>Effusion</x:v>
      </x:c>
      <x:c r="E432" s="21" t="n">
        <x:v>0</x:v>
      </x:c>
      <x:c r="F432" s="21" t="n">
        <x:v>1</x:v>
      </x:c>
      <x:c r="G432" s="21" t="str">
        <x:f>IF(COUNT(F432)=0,"판정없음",IF(E432=F432,"일치",E432&amp;"→"&amp;F432))</x:f>
        <x:v>0→1</x:v>
      </x:c>
      <x:c r="H432" t="str">
        <x:v>explicit_positive</x:v>
      </x:c>
      <x:c r="I432" s="9" t="str">
        <x:v>Leve derrame articular.</x:v>
      </x:c>
      <x:c r="J432" s="9" t="str">
        <x:v>True</x:v>
      </x:c>
      <x:c r="K432" s="9" t="str"/>
      <x:c r="L432" t="str">
        <x:v>gemma4:e4b</x:v>
      </x:c>
    </x:row>
    <x:row r="433" ht="38" customHeight="1">
      <x:c r="A433" t="n">
        <x:v>2480</x:v>
      </x:c>
      <x:c r="B433" t="str">
        <x:v>1.2.826.0.1.3680043.8.498.48348615349418615469875801439348424274</x:v>
      </x:c>
      <x:c r="C433" t="str">
        <x:v>Spanish</x:v>
      </x:c>
      <x:c r="D433" t="str">
        <x:v>Fracture</x:v>
      </x:c>
      <x:c r="E433" s="21" t="n">
        <x:v>0</x:v>
      </x:c>
      <x:c r="F433" s="21"/>
      <x:c r="G433" s="21" t="str">
        <x:f>IF(COUNT(F433)=0,"판정없음",IF(E433=F433,"일치",E433&amp;"→"&amp;F433))</x:f>
        <x:v>판정없음</x:v>
      </x:c>
      <x:c r="H433" t="str">
        <x:v>not_mentioned</x:v>
      </x:c>
      <x:c r="I433" s="9" t="str"/>
      <x:c r="J433" s="9" t="str">
        <x:v>True</x:v>
      </x:c>
      <x:c r="K433" s="9" t="str"/>
      <x:c r="L433" t="str">
        <x:v>gemma4:e4b</x:v>
      </x:c>
    </x:row>
    <x:row r="434" ht="38" customHeight="1">
      <x:c r="A434" t="n">
        <x:v>2480</x:v>
      </x:c>
      <x:c r="B434" t="str">
        <x:v>1.2.826.0.1.3680043.8.498.48348615349418615469875801439348424274</x:v>
      </x:c>
      <x:c r="C434" t="str">
        <x:v>Spanish</x:v>
      </x:c>
      <x:c r="D434" t="str">
        <x:v>Lateral Meniscus</x:v>
      </x:c>
      <x:c r="E434" s="21" t="n">
        <x:v>0</x:v>
      </x:c>
      <x:c r="F434" s="21" t="n">
        <x:v>0</x:v>
      </x:c>
      <x:c r="G434" s="21" t="str">
        <x:f>IF(COUNT(F434)=0,"판정없음",IF(E434=F434,"일치",E434&amp;"→"&amp;F434))</x:f>
        <x:v>일치</x:v>
      </x:c>
      <x:c r="H434" t="str">
        <x:v>explicit_negative</x:v>
      </x:c>
      <x:c r="I434" s="9" t="str">
        <x:v>sin signos de rotura</x:v>
      </x:c>
      <x:c r="J434" s="9" t="str">
        <x:v>True</x:v>
      </x:c>
      <x:c r="K434" s="9" t="str"/>
      <x:c r="L434" t="str">
        <x:v>gemma4:e4b</x:v>
      </x:c>
    </x:row>
    <x:row r="435" ht="38" customHeight="1">
      <x:c r="A435" t="n">
        <x:v>2480</x:v>
      </x:c>
      <x:c r="B435" t="str">
        <x:v>1.2.826.0.1.3680043.8.498.48348615349418615469875801439348424274</x:v>
      </x:c>
      <x:c r="C435" t="str">
        <x:v>Spanish</x:v>
      </x:c>
      <x:c r="D435" t="str">
        <x:v>Lateral OA</x:v>
      </x:c>
      <x:c r="E435" s="21" t="n">
        <x:v>0</x:v>
      </x:c>
      <x:c r="F435" s="21"/>
      <x:c r="G435" s="21" t="str">
        <x:f>IF(COUNT(F435)=0,"판정없음",IF(E435=F435,"일치",E435&amp;"→"&amp;F435))</x:f>
        <x:v>판정없음</x:v>
      </x:c>
      <x:c r="H435" t="str">
        <x:v>not_mentioned</x:v>
      </x:c>
      <x:c r="I435" s="9" t="str"/>
      <x:c r="J435" s="9" t="str">
        <x:v>True</x:v>
      </x:c>
      <x:c r="K435" s="9" t="str"/>
      <x:c r="L435" t="str">
        <x:v>gemma4:e4b</x:v>
      </x:c>
    </x:row>
    <x:row r="436" ht="38" customHeight="1">
      <x:c r="A436" t="n">
        <x:v>2480</x:v>
      </x:c>
      <x:c r="B436" t="str">
        <x:v>1.2.826.0.1.3680043.8.498.48348615349418615469875801439348424274</x:v>
      </x:c>
      <x:c r="C436" t="str">
        <x:v>Spanish</x:v>
      </x:c>
      <x:c r="D436" t="str">
        <x:v>MCL</x:v>
      </x:c>
      <x:c r="E436" s="21" t="n">
        <x:v>1</x:v>
      </x:c>
      <x:c r="F436" s="21" t="n">
        <x:v>1</x:v>
      </x:c>
      <x:c r="G436" s="21" t="str">
        <x:f>IF(COUNT(F436)=0,"판정없음",IF(E436=F436,"일치",E436&amp;"→"&amp;F436))</x:f>
        <x:v>일치</x:v>
      </x:c>
      <x:c r="H436" t="str">
        <x:v>explicit_positive</x:v>
      </x:c>
      <x:c r="I436" s="9" t="str">
        <x:v>Signos de un esguince grado II del componente superficial del ligamento colateral medial.</x:v>
      </x:c>
      <x:c r="J436" s="9" t="str">
        <x:v>True</x:v>
      </x:c>
      <x:c r="K436" s="9" t="str">
        <x:v>esguince del ligamento colateral medial</x:v>
      </x:c>
      <x:c r="L436" t="str">
        <x:v>gemma4:e4b</x:v>
      </x:c>
    </x:row>
    <x:row r="437" ht="38" customHeight="1">
      <x:c r="A437" t="n">
        <x:v>2480</x:v>
      </x:c>
      <x:c r="B437" t="str">
        <x:v>1.2.826.0.1.3680043.8.498.48348615349418615469875801439348424274</x:v>
      </x:c>
      <x:c r="C437" t="str">
        <x:v>Spanish</x:v>
      </x:c>
      <x:c r="D437" t="str">
        <x:v>Medial Meniscus</x:v>
      </x:c>
      <x:c r="E437" s="21" t="n">
        <x:v>0</x:v>
      </x:c>
      <x:c r="F437" s="21"/>
      <x:c r="G437" s="21" t="str">
        <x:f>IF(COUNT(F437)=0,"판정없음",IF(E437=F437,"일치",E437&amp;"→"&amp;F437))</x:f>
        <x:v>판정없음</x:v>
      </x:c>
      <x:c r="H437" t="str">
        <x:v>uncertain_or_indirect</x:v>
      </x:c>
      <x:c r="I437" s="9" t="str">
        <x:v>aumento de señal del meniscocapsular a su cuerno posterior</x:v>
      </x:c>
      <x:c r="J437" s="9" t="str">
        <x:v>True</x:v>
      </x:c>
      <x:c r="K437" s="9" t="str">
        <x:v>meniscocapsular</x:v>
      </x:c>
      <x:c r="L437" t="str">
        <x:v>gemma4:e4b</x:v>
      </x:c>
    </x:row>
    <x:row r="438" ht="38" customHeight="1">
      <x:c r="A438" t="n">
        <x:v>2480</x:v>
      </x:c>
      <x:c r="B438" t="str">
        <x:v>1.2.826.0.1.3680043.8.498.48348615349418615469875801439348424274</x:v>
      </x:c>
      <x:c r="C438" t="str">
        <x:v>Spanish</x:v>
      </x:c>
      <x:c r="D438" t="str">
        <x:v>Medial OA</x:v>
      </x:c>
      <x:c r="E438" s="21" t="n">
        <x:v>0</x:v>
      </x:c>
      <x:c r="F438" s="21"/>
      <x:c r="G438" s="21" t="str">
        <x:f>IF(COUNT(F438)=0,"판정없음",IF(E438=F438,"일치",E438&amp;"→"&amp;F438))</x:f>
        <x:v>판정없음</x:v>
      </x:c>
      <x:c r="H438" t="str">
        <x:v>not_mentioned</x:v>
      </x:c>
      <x:c r="I438" s="9" t="str"/>
      <x:c r="J438" s="9" t="str">
        <x:v>True</x:v>
      </x:c>
      <x:c r="K438" s="9" t="str"/>
      <x:c r="L438" t="str">
        <x:v>gemma4:e4b</x:v>
      </x:c>
    </x:row>
    <x:row r="439" ht="38" customHeight="1">
      <x:c r="A439" t="n">
        <x:v>2480</x:v>
      </x:c>
      <x:c r="B439" t="str">
        <x:v>1.2.826.0.1.3680043.8.498.48348615349418615469875801439348424274</x:v>
      </x:c>
      <x:c r="C439" t="str">
        <x:v>Spanish</x:v>
      </x:c>
      <x:c r="D439" t="str">
        <x:v>PF OA</x:v>
      </x:c>
      <x:c r="E439" s="21" t="n">
        <x:v>0</x:v>
      </x:c>
      <x:c r="F439" s="21"/>
      <x:c r="G439" s="21" t="str">
        <x:f>IF(COUNT(F439)=0,"판정없음",IF(E439=F439,"일치",E439&amp;"→"&amp;F439))</x:f>
        <x:v>판정없음</x:v>
      </x:c>
      <x:c r="H439" t="str">
        <x:v>not_mentioned</x:v>
      </x:c>
      <x:c r="I439" s="9" t="str"/>
      <x:c r="J439" s="9" t="str">
        <x:v>True</x:v>
      </x:c>
      <x:c r="K439" s="9" t="str"/>
      <x:c r="L439" t="str">
        <x:v>gemma4:e4b</x:v>
      </x:c>
    </x:row>
    <x:row r="440" ht="38" customHeight="1">
      <x:c r="A440" t="n">
        <x:v>2480</x:v>
      </x:c>
      <x:c r="B440" t="str">
        <x:v>1.2.826.0.1.3680043.8.498.48348615349418615469875801439348424274</x:v>
      </x:c>
      <x:c r="C440" t="str">
        <x:v>Spanish</x:v>
      </x:c>
      <x:c r="D440" t="str">
        <x:v>Synovitis</x:v>
      </x:c>
      <x:c r="E440" s="21" t="n">
        <x:v>0</x:v>
      </x:c>
      <x:c r="F440" s="21"/>
      <x:c r="G440" s="21" t="str">
        <x:f>IF(COUNT(F440)=0,"판정없음",IF(E440=F440,"일치",E440&amp;"→"&amp;F440))</x:f>
        <x:v>판정없음</x:v>
      </x:c>
      <x:c r="H440" t="str">
        <x:v>not_mentioned</x:v>
      </x:c>
      <x:c r="I440" s="9" t="str"/>
      <x:c r="J440" s="9" t="str">
        <x:v>True</x:v>
      </x:c>
      <x:c r="K440" s="9" t="str"/>
      <x:c r="L440" t="str">
        <x:v>gemma4:e4b</x:v>
      </x:c>
    </x:row>
    <x:row r="441" ht="38" customHeight="1">
      <x:c r="A441" t="n">
        <x:v>2502</x:v>
      </x:c>
      <x:c r="B441" t="str">
        <x:v>1.2.826.0.1.3680043.8.498.48946580946665031852355005294734101132</x:v>
      </x:c>
      <x:c r="C441" t="str">
        <x:v>English</x:v>
      </x:c>
      <x:c r="D441" t="str">
        <x:v>ACL</x:v>
      </x:c>
      <x:c r="E441" s="21" t="n">
        <x:v>1</x:v>
      </x:c>
      <x:c r="F441" s="21" t="n">
        <x:v>1</x:v>
      </x:c>
      <x:c r="G441" s="21" t="str">
        <x:f>IF(COUNT(F441)=0,"판정없음",IF(E441=F441,"일치",E441&amp;"→"&amp;F441))</x:f>
        <x:v>일치</x:v>
      </x:c>
      <x:c r="H441" t="str">
        <x:v>explicit_positive</x:v>
      </x:c>
      <x:c r="I441" s="9" t="str">
        <x:v>High-grade partial-thickness tear involving the anterior cruciate ligament near the femoral attachment</x:v>
      </x:c>
      <x:c r="J441" s="9" t="str">
        <x:v>True</x:v>
      </x:c>
      <x:c r="K441" s="9" t="str">
        <x:v>anterior cruciate ligament</x:v>
      </x:c>
      <x:c r="L441" t="str">
        <x:v>gemma4:e4b</x:v>
      </x:c>
    </x:row>
    <x:row r="442" ht="38" customHeight="1">
      <x:c r="A442" t="n">
        <x:v>2502</x:v>
      </x:c>
      <x:c r="B442" t="str">
        <x:v>1.2.826.0.1.3680043.8.498.48946580946665031852355005294734101132</x:v>
      </x:c>
      <x:c r="C442" t="str">
        <x:v>English</x:v>
      </x:c>
      <x:c r="D442" t="str">
        <x:v>Baker's</x:v>
      </x:c>
      <x:c r="E442" s="21" t="n">
        <x:v>0</x:v>
      </x:c>
      <x:c r="F442" s="21"/>
      <x:c r="G442" s="21" t="str">
        <x:f>IF(COUNT(F442)=0,"판정없음",IF(E442=F442,"일치",E442&amp;"→"&amp;F442))</x:f>
        <x:v>판정없음</x:v>
      </x:c>
      <x:c r="H442" t="str">
        <x:v>not_mentioned</x:v>
      </x:c>
      <x:c r="I442" s="9" t="str"/>
      <x:c r="J442" s="9" t="str">
        <x:v>True</x:v>
      </x:c>
      <x:c r="K442" s="9" t="str"/>
      <x:c r="L442" t="str">
        <x:v>gemma4:e4b</x:v>
      </x:c>
    </x:row>
    <x:row r="443" ht="38" customHeight="1">
      <x:c r="A443" t="n">
        <x:v>2502</x:v>
      </x:c>
      <x:c r="B443" t="str">
        <x:v>1.2.826.0.1.3680043.8.498.48946580946665031852355005294734101132</x:v>
      </x:c>
      <x:c r="C443" t="str">
        <x:v>English</x:v>
      </x:c>
      <x:c r="D443" t="str">
        <x:v>Contusion</x:v>
      </x:c>
      <x:c r="E443" s="21" t="n">
        <x:v>1</x:v>
      </x:c>
      <x:c r="F443" s="21"/>
      <x:c r="G443" s="21" t="str">
        <x:f>IF(COUNT(F443)=0,"판정없음",IF(E443=F443,"일치",E443&amp;"→"&amp;F443))</x:f>
        <x:v>판정없음</x:v>
      </x:c>
      <x:c r="H443" t="str">
        <x:v>uncertain_or_indirect</x:v>
      </x:c>
      <x:c r="I443" s="9" t="str">
        <x:v>Osteochondral impaction injury posterior lateral tibial plateau and posterior medial tibial plateau</x:v>
      </x:c>
      <x:c r="J443" s="9" t="str">
        <x:v>True</x:v>
      </x:c>
      <x:c r="K443" s="9" t="str">
        <x:v>bone contusion</x:v>
      </x:c>
      <x:c r="L443" t="str">
        <x:v>gemma4:e4b</x:v>
      </x:c>
    </x:row>
    <x:row r="444" ht="38" customHeight="1">
      <x:c r="A444" t="n">
        <x:v>2502</x:v>
      </x:c>
      <x:c r="B444" t="str">
        <x:v>1.2.826.0.1.3680043.8.498.48946580946665031852355005294734101132</x:v>
      </x:c>
      <x:c r="C444" t="str">
        <x:v>English</x:v>
      </x:c>
      <x:c r="D444" t="str">
        <x:v>Effusion</x:v>
      </x:c>
      <x:c r="E444" s="21" t="n">
        <x:v>1</x:v>
      </x:c>
      <x:c r="F444" s="21" t="n">
        <x:v>1</x:v>
      </x:c>
      <x:c r="G444" s="21" t="str">
        <x:f>IF(COUNT(F444)=0,"판정없음",IF(E444=F444,"일치",E444&amp;"→"&amp;F444))</x:f>
        <x:v>일치</x:v>
      </x:c>
      <x:c r="H444" t="str">
        <x:v>explicit_positive</x:v>
      </x:c>
      <x:c r="I444" s="9" t="str">
        <x:v>Small knee joint effusion</x:v>
      </x:c>
      <x:c r="J444" s="9" t="str">
        <x:v>True</x:v>
      </x:c>
      <x:c r="K444" s="9" t="str">
        <x:v>knee joint effusion</x:v>
      </x:c>
      <x:c r="L444" t="str">
        <x:v>gemma4:e4b</x:v>
      </x:c>
    </x:row>
    <x:row r="445" ht="38" customHeight="1">
      <x:c r="A445" t="n">
        <x:v>2502</x:v>
      </x:c>
      <x:c r="B445" t="str">
        <x:v>1.2.826.0.1.3680043.8.498.48946580946665031852355005294734101132</x:v>
      </x:c>
      <x:c r="C445" t="str">
        <x:v>English</x:v>
      </x:c>
      <x:c r="D445" t="str">
        <x:v>Fracture</x:v>
      </x:c>
      <x:c r="E445" s="21" t="n">
        <x:v>0</x:v>
      </x:c>
      <x:c r="F445" s="21"/>
      <x:c r="G445" s="21" t="str">
        <x:f>IF(COUNT(F445)=0,"판정없음",IF(E445=F445,"일치",E445&amp;"→"&amp;F445))</x:f>
        <x:v>판정없음</x:v>
      </x:c>
      <x:c r="H445" t="str">
        <x:v>not_mentioned</x:v>
      </x:c>
      <x:c r="I445" s="9" t="str"/>
      <x:c r="J445" s="9" t="str">
        <x:v>True</x:v>
      </x:c>
      <x:c r="K445" s="9" t="str"/>
      <x:c r="L445" t="str">
        <x:v>gemma4:e4b</x:v>
      </x:c>
    </x:row>
    <x:row r="446" ht="38" customHeight="1">
      <x:c r="A446" t="n">
        <x:v>2502</x:v>
      </x:c>
      <x:c r="B446" t="str">
        <x:v>1.2.826.0.1.3680043.8.498.48946580946665031852355005294734101132</x:v>
      </x:c>
      <x:c r="C446" t="str">
        <x:v>English</x:v>
      </x:c>
      <x:c r="D446" t="str">
        <x:v>Lateral Meniscus</x:v>
      </x:c>
      <x:c r="E446" s="21" t="n">
        <x:v>0</x:v>
      </x:c>
      <x:c r="F446" s="21" t="n">
        <x:v>0</x:v>
      </x:c>
      <x:c r="G446" s="21" t="str">
        <x:f>IF(COUNT(F446)=0,"판정없음",IF(E446=F446,"일치",E446&amp;"→"&amp;F446))</x:f>
        <x:v>일치</x:v>
      </x:c>
      <x:c r="H446" t="str">
        <x:v>explicit_negative</x:v>
      </x:c>
      <x:c r="I446" s="9" t="str">
        <x:v>The lateral meniscus is intact</x:v>
      </x:c>
      <x:c r="J446" s="9" t="str">
        <x:v>True</x:v>
      </x:c>
      <x:c r="K446" s="9" t="str">
        <x:v>lateral meniscus</x:v>
      </x:c>
      <x:c r="L446" t="str">
        <x:v>gemma4:e4b</x:v>
      </x:c>
    </x:row>
    <x:row r="447" ht="38" customHeight="1">
      <x:c r="A447" t="n">
        <x:v>2502</x:v>
      </x:c>
      <x:c r="B447" t="str">
        <x:v>1.2.826.0.1.3680043.8.498.48946580946665031852355005294734101132</x:v>
      </x:c>
      <x:c r="C447" t="str">
        <x:v>English</x:v>
      </x:c>
      <x:c r="D447" t="str">
        <x:v>Lateral OA</x:v>
      </x:c>
      <x:c r="E447" s="21" t="n">
        <x:v>0</x:v>
      </x:c>
      <x:c r="F447" s="21"/>
      <x:c r="G447" s="21" t="str">
        <x:f>IF(COUNT(F447)=0,"판정없음",IF(E447=F447,"일치",E447&amp;"→"&amp;F447))</x:f>
        <x:v>판정없음</x:v>
      </x:c>
      <x:c r="H447" t="str">
        <x:v>not_mentioned</x:v>
      </x:c>
      <x:c r="I447" s="9" t="str"/>
      <x:c r="J447" s="9" t="str">
        <x:v>True</x:v>
      </x:c>
      <x:c r="K447" s="9" t="str"/>
      <x:c r="L447" t="str">
        <x:v>gemma4:e4b</x:v>
      </x:c>
    </x:row>
    <x:row r="448" ht="38" customHeight="1">
      <x:c r="A448" t="n">
        <x:v>2502</x:v>
      </x:c>
      <x:c r="B448" t="str">
        <x:v>1.2.826.0.1.3680043.8.498.48946580946665031852355005294734101132</x:v>
      </x:c>
      <x:c r="C448" t="str">
        <x:v>English</x:v>
      </x:c>
      <x:c r="D448" t="str">
        <x:v>MCL</x:v>
      </x:c>
      <x:c r="E448" s="21" t="n">
        <x:v>0</x:v>
      </x:c>
      <x:c r="F448" s="21" t="n">
        <x:v>1</x:v>
      </x:c>
      <x:c r="G448" s="21" t="str">
        <x:f>IF(COUNT(F448)=0,"판정없음",IF(E448=F448,"일치",E448&amp;"→"&amp;F448))</x:f>
        <x:v>0→1</x:v>
      </x:c>
      <x:c r="H448" t="str">
        <x:v>explicit_positive</x:v>
      </x:c>
      <x:c r="I448" s="9" t="str">
        <x:v>Low-grade partial-thickness tear involving the proximal fibers of the superficial and deep medial collateral ligament</x:v>
      </x:c>
      <x:c r="J448" s="9" t="str">
        <x:v>True</x:v>
      </x:c>
      <x:c r="K448" s="9" t="str">
        <x:v>medial collateral ligament</x:v>
      </x:c>
      <x:c r="L448" t="str">
        <x:v>gemma4:e4b</x:v>
      </x:c>
    </x:row>
    <x:row r="449" ht="38" customHeight="1">
      <x:c r="A449" t="n">
        <x:v>2502</x:v>
      </x:c>
      <x:c r="B449" t="str">
        <x:v>1.2.826.0.1.3680043.8.498.48946580946665031852355005294734101132</x:v>
      </x:c>
      <x:c r="C449" t="str">
        <x:v>English</x:v>
      </x:c>
      <x:c r="D449" t="str">
        <x:v>Medial Meniscus</x:v>
      </x:c>
      <x:c r="E449" s="21" t="n">
        <x:v>0</x:v>
      </x:c>
      <x:c r="F449" s="21" t="n">
        <x:v>0</x:v>
      </x:c>
      <x:c r="G449" s="21" t="str">
        <x:f>IF(COUNT(F449)=0,"판정없음",IF(E449=F449,"일치",E449&amp;"→"&amp;F449))</x:f>
        <x:v>일치</x:v>
      </x:c>
      <x:c r="H449" t="str">
        <x:v>explicit_negative</x:v>
      </x:c>
      <x:c r="I449" s="9" t="str">
        <x:v>The medial meniscus is intact</x:v>
      </x:c>
      <x:c r="J449" s="9" t="str">
        <x:v>True</x:v>
      </x:c>
      <x:c r="K449" s="9" t="str">
        <x:v>medial meniscus</x:v>
      </x:c>
      <x:c r="L449" t="str">
        <x:v>gemma4:e4b</x:v>
      </x:c>
    </x:row>
    <x:row r="450" ht="38" customHeight="1">
      <x:c r="A450" t="n">
        <x:v>2502</x:v>
      </x:c>
      <x:c r="B450" t="str">
        <x:v>1.2.826.0.1.3680043.8.498.48946580946665031852355005294734101132</x:v>
      </x:c>
      <x:c r="C450" t="str">
        <x:v>English</x:v>
      </x:c>
      <x:c r="D450" t="str">
        <x:v>Medial OA</x:v>
      </x:c>
      <x:c r="E450" s="21" t="n">
        <x:v>0</x:v>
      </x:c>
      <x:c r="F450" s="21"/>
      <x:c r="G450" s="21" t="str">
        <x:f>IF(COUNT(F450)=0,"판정없음",IF(E450=F450,"일치",E450&amp;"→"&amp;F450))</x:f>
        <x:v>판정없음</x:v>
      </x:c>
      <x:c r="H450" t="str">
        <x:v>not_mentioned</x:v>
      </x:c>
      <x:c r="I450" s="9" t="str"/>
      <x:c r="J450" s="9" t="str">
        <x:v>True</x:v>
      </x:c>
      <x:c r="K450" s="9" t="str"/>
      <x:c r="L450" t="str">
        <x:v>gemma4:e4b</x:v>
      </x:c>
    </x:row>
    <x:row r="451" ht="38" customHeight="1">
      <x:c r="A451" t="n">
        <x:v>2502</x:v>
      </x:c>
      <x:c r="B451" t="str">
        <x:v>1.2.826.0.1.3680043.8.498.48946580946665031852355005294734101132</x:v>
      </x:c>
      <x:c r="C451" t="str">
        <x:v>English</x:v>
      </x:c>
      <x:c r="D451" t="str">
        <x:v>PF OA</x:v>
      </x:c>
      <x:c r="E451" s="21" t="n">
        <x:v>0</x:v>
      </x:c>
      <x:c r="F451" s="21"/>
      <x:c r="G451" s="21" t="str">
        <x:f>IF(COUNT(F451)=0,"판정없음",IF(E451=F451,"일치",E451&amp;"→"&amp;F451))</x:f>
        <x:v>판정없음</x:v>
      </x:c>
      <x:c r="H451" t="str">
        <x:v>uncertain_or_indirect</x:v>
      </x:c>
      <x:c r="I451" s="9" t="str">
        <x:v>Scattered foci of mild chondrosis throughout the patellofemoral compartment</x:v>
      </x:c>
      <x:c r="J451" s="9" t="str">
        <x:v>True</x:v>
      </x:c>
      <x:c r="K451" s="9" t="str">
        <x:v>patellofemoral compartment</x:v>
      </x:c>
      <x:c r="L451" t="str">
        <x:v>gemma4:e4b</x:v>
      </x:c>
    </x:row>
    <x:row r="452" ht="38" customHeight="1">
      <x:c r="A452" t="n">
        <x:v>2502</x:v>
      </x:c>
      <x:c r="B452" t="str">
        <x:v>1.2.826.0.1.3680043.8.498.48946580946665031852355005294734101132</x:v>
      </x:c>
      <x:c r="C452" t="str">
        <x:v>English</x:v>
      </x:c>
      <x:c r="D452" t="str">
        <x:v>Synovitis</x:v>
      </x:c>
      <x:c r="E452" s="21" t="n">
        <x:v>0</x:v>
      </x:c>
      <x:c r="F452" s="21"/>
      <x:c r="G452" s="21" t="str">
        <x:f>IF(COUNT(F452)=0,"판정없음",IF(E452=F452,"일치",E452&amp;"→"&amp;F452))</x:f>
        <x:v>판정없음</x:v>
      </x:c>
      <x:c r="H452" t="str">
        <x:v>not_mentioned</x:v>
      </x:c>
      <x:c r="I452" s="9" t="str"/>
      <x:c r="J452" s="9" t="str">
        <x:v>True</x:v>
      </x:c>
      <x:c r="K452" s="9" t="str"/>
      <x:c r="L452" t="str">
        <x:v>gemma4:e4b</x:v>
      </x:c>
    </x:row>
    <x:row r="453" ht="38" customHeight="1">
      <x:c r="A453" t="n">
        <x:v>2727</x:v>
      </x:c>
      <x:c r="B453" t="str">
        <x:v>1.2.826.0.1.3680043.8.498.54977581323931277817074741182670080450</x:v>
      </x:c>
      <x:c r="C453" t="str">
        <x:v>Spanish</x:v>
      </x:c>
      <x:c r="D453" t="str">
        <x:v>ACL</x:v>
      </x:c>
      <x:c r="E453" s="21" t="n">
        <x:v>0</x:v>
      </x:c>
      <x:c r="F453" s="21" t="n">
        <x:v>0</x:v>
      </x:c>
      <x:c r="G453" s="21" t="str">
        <x:f>IF(COUNT(F453)=0,"판정없음",IF(E453=F453,"일치",E453&amp;"→"&amp;F453))</x:f>
        <x:v>일치</x:v>
      </x:c>
      <x:c r="H453" t="str">
        <x:v>explicit_negative</x:v>
      </x:c>
      <x:c r="I453" s="9" t="str">
        <x:v>Ligamentos cruzados y colaterales dentro de límites normales.</x:v>
      </x:c>
      <x:c r="J453" s="9" t="str">
        <x:v>True</x:v>
      </x:c>
      <x:c r="K453" s="9" t="str"/>
      <x:c r="L453" t="str">
        <x:v>gemma4:e4b</x:v>
      </x:c>
    </x:row>
    <x:row r="454" ht="38" customHeight="1">
      <x:c r="A454" t="n">
        <x:v>2727</x:v>
      </x:c>
      <x:c r="B454" t="str">
        <x:v>1.2.826.0.1.3680043.8.498.54977581323931277817074741182670080450</x:v>
      </x:c>
      <x:c r="C454" t="str">
        <x:v>Spanish</x:v>
      </x:c>
      <x:c r="D454" t="str">
        <x:v>Baker's</x:v>
      </x:c>
      <x:c r="E454" s="21" t="n">
        <x:v>0</x:v>
      </x:c>
      <x:c r="F454" s="21"/>
      <x:c r="G454" s="21" t="str">
        <x:f>IF(COUNT(F454)=0,"판정없음",IF(E454=F454,"일치",E454&amp;"→"&amp;F454))</x:f>
        <x:v>판정없음</x:v>
      </x:c>
      <x:c r="H454" t="str">
        <x:v>not_mentioned</x:v>
      </x:c>
      <x:c r="I454" s="9" t="str"/>
      <x:c r="J454" s="9" t="str">
        <x:v>True</x:v>
      </x:c>
      <x:c r="K454" s="9" t="str"/>
      <x:c r="L454" t="str">
        <x:v>gemma4:e4b</x:v>
      </x:c>
    </x:row>
    <x:row r="455" ht="38" customHeight="1">
      <x:c r="A455" t="n">
        <x:v>2727</x:v>
      </x:c>
      <x:c r="B455" t="str">
        <x:v>1.2.826.0.1.3680043.8.498.54977581323931277817074741182670080450</x:v>
      </x:c>
      <x:c r="C455" t="str">
        <x:v>Spanish</x:v>
      </x:c>
      <x:c r="D455" t="str">
        <x:v>Contusion</x:v>
      </x:c>
      <x:c r="E455" s="21" t="n">
        <x:v>0</x:v>
      </x:c>
      <x:c r="F455" s="21"/>
      <x:c r="G455" s="21" t="str">
        <x:f>IF(COUNT(F455)=0,"판정없음",IF(E455=F455,"일치",E455&amp;"→"&amp;F455))</x:f>
        <x:v>판정없음</x:v>
      </x:c>
      <x:c r="H455" t="str">
        <x:v>not_mentioned</x:v>
      </x:c>
      <x:c r="I455" s="9" t="str"/>
      <x:c r="J455" s="9" t="str">
        <x:v>True</x:v>
      </x:c>
      <x:c r="K455" s="9" t="str"/>
      <x:c r="L455" t="str">
        <x:v>gemma4:e4b</x:v>
      </x:c>
    </x:row>
    <x:row r="456" ht="38" customHeight="1">
      <x:c r="A456" t="n">
        <x:v>2727</x:v>
      </x:c>
      <x:c r="B456" t="str">
        <x:v>1.2.826.0.1.3680043.8.498.54977581323931277817074741182670080450</x:v>
      </x:c>
      <x:c r="C456" t="str">
        <x:v>Spanish</x:v>
      </x:c>
      <x:c r="D456" t="str">
        <x:v>Effusion</x:v>
      </x:c>
      <x:c r="E456" s="21" t="n">
        <x:v>0</x:v>
      </x:c>
      <x:c r="F456" s="21" t="n">
        <x:v>1</x:v>
      </x:c>
      <x:c r="G456" s="21" t="str">
        <x:f>IF(COUNT(F456)=0,"판정없음",IF(E456=F456,"일치",E456&amp;"→"&amp;F456))</x:f>
        <x:v>0→1</x:v>
      </x:c>
      <x:c r="H456" t="str">
        <x:v>explicit_positive</x:v>
      </x:c>
      <x:c r="I456" s="9" t="str">
        <x:v>Leve derrame articular con mínima sinovitis.</x:v>
      </x:c>
      <x:c r="J456" s="9" t="str">
        <x:v>True</x:v>
      </x:c>
      <x:c r="K456" s="9" t="str"/>
      <x:c r="L456" t="str">
        <x:v>gemma4:e4b</x:v>
      </x:c>
    </x:row>
    <x:row r="457" ht="38" customHeight="1">
      <x:c r="A457" t="n">
        <x:v>2727</x:v>
      </x:c>
      <x:c r="B457" t="str">
        <x:v>1.2.826.0.1.3680043.8.498.54977581323931277817074741182670080450</x:v>
      </x:c>
      <x:c r="C457" t="str">
        <x:v>Spanish</x:v>
      </x:c>
      <x:c r="D457" t="str">
        <x:v>Fracture</x:v>
      </x:c>
      <x:c r="E457" s="21" t="n">
        <x:v>0</x:v>
      </x:c>
      <x:c r="F457" s="21"/>
      <x:c r="G457" s="21" t="str">
        <x:f>IF(COUNT(F457)=0,"판정없음",IF(E457=F457,"일치",E457&amp;"→"&amp;F457))</x:f>
        <x:v>판정없음</x:v>
      </x:c>
      <x:c r="H457" t="str">
        <x:v>not_mentioned</x:v>
      </x:c>
      <x:c r="I457" s="9" t="str"/>
      <x:c r="J457" s="9" t="str">
        <x:v>True</x:v>
      </x:c>
      <x:c r="K457" s="9" t="str"/>
      <x:c r="L457" t="str">
        <x:v>gemma4:e4b</x:v>
      </x:c>
    </x:row>
    <x:row r="458" ht="38" customHeight="1">
      <x:c r="A458" t="n">
        <x:v>2727</x:v>
      </x:c>
      <x:c r="B458" t="str">
        <x:v>1.2.826.0.1.3680043.8.498.54977581323931277817074741182670080450</x:v>
      </x:c>
      <x:c r="C458" t="str">
        <x:v>Spanish</x:v>
      </x:c>
      <x:c r="D458" t="str">
        <x:v>Lateral Meniscus</x:v>
      </x:c>
      <x:c r="E458" s="21" t="n">
        <x:v>1</x:v>
      </x:c>
      <x:c r="F458" s="21" t="n">
        <x:v>1</x:v>
      </x:c>
      <x:c r="G458" s="21" t="str">
        <x:f>IF(COUNT(F458)=0,"판정없음",IF(E458=F458,"일치",E458&amp;"→"&amp;F458))</x:f>
        <x:v>일치</x:v>
      </x:c>
      <x:c r="H458" t="str">
        <x:v>explicit_positive</x:v>
      </x:c>
      <x:c r="I458" s="9" t="str">
        <x:v>Rotura del cuerno anterior, cuerpo y parte del cuerno posterior del menisco lateral con edema las partes blandas perimeniscal es, quistes para meniscales y moderada extrusión meniscal.</x:v>
      </x:c>
      <x:c r="J458" s="9" t="str">
        <x:v>True</x:v>
      </x:c>
      <x:c r="K458" s="9" t="str"/>
      <x:c r="L458" t="str">
        <x:v>gemma4:e4b</x:v>
      </x:c>
    </x:row>
    <x:row r="459" ht="38" customHeight="1">
      <x:c r="A459" t="n">
        <x:v>2727</x:v>
      </x:c>
      <x:c r="B459" t="str">
        <x:v>1.2.826.0.1.3680043.8.498.54977581323931277817074741182670080450</x:v>
      </x:c>
      <x:c r="C459" t="str">
        <x:v>Spanish</x:v>
      </x:c>
      <x:c r="D459" t="str">
        <x:v>Lateral OA</x:v>
      </x:c>
      <x:c r="E459" s="21" t="n">
        <x:v>0</x:v>
      </x:c>
      <x:c r="F459" s="21" t="n">
        <x:v>1</x:v>
      </x:c>
      <x:c r="G459" s="21" t="str">
        <x:f>IF(COUNT(F459)=0,"판정없음",IF(E459=F459,"일치",E459&amp;"→"&amp;F459))</x:f>
        <x:v>0→1</x:v>
      </x:c>
      <x:c r="H459" t="str">
        <x:v>explicit_positive</x:v>
      </x:c>
      <x:c r="I459" s="9" t="str">
        <x:v>Úlceras condrales de espesor parcial y prácticamente total de la zona de carga del compartimento femorotibial lateral.</x:v>
      </x:c>
      <x:c r="J459" s="9" t="str">
        <x:v>True</x:v>
      </x:c>
      <x:c r="K459" s="9" t="str">
        <x:v>Condropatía lesiones grado 2 y 3 de la zona de carga del compartimento femorotibial lateral.</x:v>
      </x:c>
      <x:c r="L459" t="str">
        <x:v>gemma4:e4b</x:v>
      </x:c>
    </x:row>
    <x:row r="460" ht="38" customHeight="1">
      <x:c r="A460" t="n">
        <x:v>2727</x:v>
      </x:c>
      <x:c r="B460" t="str">
        <x:v>1.2.826.0.1.3680043.8.498.54977581323931277817074741182670080450</x:v>
      </x:c>
      <x:c r="C460" t="str">
        <x:v>Spanish</x:v>
      </x:c>
      <x:c r="D460" t="str">
        <x:v>MCL</x:v>
      </x:c>
      <x:c r="E460" s="21" t="n">
        <x:v>0</x:v>
      </x:c>
      <x:c r="F460" s="21" t="n">
        <x:v>0</x:v>
      </x:c>
      <x:c r="G460" s="21" t="str">
        <x:f>IF(COUNT(F460)=0,"판정없음",IF(E460=F460,"일치",E460&amp;"→"&amp;F460))</x:f>
        <x:v>일치</x:v>
      </x:c>
      <x:c r="H460" t="str">
        <x:v>explicit_negative</x:v>
      </x:c>
      <x:c r="I460" s="9" t="str">
        <x:v>Ligamentos cruzados y colaterales dentro de límites normales.</x:v>
      </x:c>
      <x:c r="J460" s="9" t="str">
        <x:v>True</x:v>
      </x:c>
      <x:c r="K460" s="9" t="str"/>
      <x:c r="L460" t="str">
        <x:v>gemma4:e4b</x:v>
      </x:c>
    </x:row>
    <x:row r="461" ht="38" customHeight="1">
      <x:c r="A461" t="n">
        <x:v>2727</x:v>
      </x:c>
      <x:c r="B461" t="str">
        <x:v>1.2.826.0.1.3680043.8.498.54977581323931277817074741182670080450</x:v>
      </x:c>
      <x:c r="C461" t="str">
        <x:v>Spanish</x:v>
      </x:c>
      <x:c r="D461" t="str">
        <x:v>Medial Meniscus</x:v>
      </x:c>
      <x:c r="E461" s="21" t="n">
        <x:v>0</x:v>
      </x:c>
      <x:c r="F461" s="21"/>
      <x:c r="G461" s="21" t="str">
        <x:f>IF(COUNT(F461)=0,"판정없음",IF(E461=F461,"일치",E461&amp;"→"&amp;F461))</x:f>
        <x:v>판정없음</x:v>
      </x:c>
      <x:c r="H461" t="str">
        <x:v>uncertain_or_indirect</x:v>
      </x:c>
      <x:c r="I461" s="9" t="str">
        <x:v>Aumento de señal central del cuerno posterior y cuerpo del menisco medial que no impresiona contactar con la superficie articular, sin caracteres propios de rotura.</x:v>
      </x:c>
      <x:c r="J461" s="9" t="str">
        <x:v>True</x:v>
      </x:c>
      <x:c r="K461" s="9" t="str"/>
      <x:c r="L461" t="str">
        <x:v>gemma4:e4b</x:v>
      </x:c>
    </x:row>
    <x:row r="462" ht="38" customHeight="1">
      <x:c r="A462" t="n">
        <x:v>2727</x:v>
      </x:c>
      <x:c r="B462" t="str">
        <x:v>1.2.826.0.1.3680043.8.498.54977581323931277817074741182670080450</x:v>
      </x:c>
      <x:c r="C462" t="str">
        <x:v>Spanish</x:v>
      </x:c>
      <x:c r="D462" t="str">
        <x:v>Medial OA</x:v>
      </x:c>
      <x:c r="E462" s="21" t="n">
        <x:v>0</x:v>
      </x:c>
      <x:c r="F462" s="21" t="n">
        <x:v>0</x:v>
      </x:c>
      <x:c r="G462" s="21" t="str">
        <x:f>IF(COUNT(F462)=0,"판정없음",IF(E462=F462,"일치",E462&amp;"→"&amp;F462))</x:f>
        <x:v>일치</x:v>
      </x:c>
      <x:c r="H462" t="str">
        <x:v>explicit_negative</x:v>
      </x:c>
      <x:c r="I462" s="9" t="str">
        <x:v>Cartílagos del compartimento femorotibial medial y de la tróclea femoral sin alteraciones.</x:v>
      </x:c>
      <x:c r="J462" s="9" t="str">
        <x:v>True</x:v>
      </x:c>
      <x:c r="K462" s="9" t="str"/>
      <x:c r="L462" t="str">
        <x:v>gemma4:e4b</x:v>
      </x:c>
    </x:row>
    <x:row r="463" ht="38" customHeight="1">
      <x:c r="A463" t="n">
        <x:v>2727</x:v>
      </x:c>
      <x:c r="B463" t="str">
        <x:v>1.2.826.0.1.3680043.8.498.54977581323931277817074741182670080450</x:v>
      </x:c>
      <x:c r="C463" t="str">
        <x:v>Spanish</x:v>
      </x:c>
      <x:c r="D463" t="str">
        <x:v>PF OA</x:v>
      </x:c>
      <x:c r="E463" s="21" t="n">
        <x:v>0</x:v>
      </x:c>
      <x:c r="F463" s="21" t="n">
        <x:v>1</x:v>
      </x:c>
      <x:c r="G463" s="21" t="str">
        <x:f>IF(COUNT(F463)=0,"판정없음",IF(E463=F463,"일치",E463&amp;"→"&amp;F463))</x:f>
        <x:v>0→1</x:v>
      </x:c>
      <x:c r="H463" t="str">
        <x:v>explicit_positive</x:v>
      </x:c>
      <x:c r="I463" s="9" t="str">
        <x:v>Condropatía rotuliana superficial la faceta lateral.</x:v>
      </x:c>
      <x:c r="J463" s="9" t="str">
        <x:v>True</x:v>
      </x:c>
      <x:c r="K463" s="9" t="str">
        <x:v>Condropatía rotuliana superficial.</x:v>
      </x:c>
      <x:c r="L463" t="str">
        <x:v>gemma4:e4b</x:v>
      </x:c>
    </x:row>
    <x:row r="464" ht="38" customHeight="1">
      <x:c r="A464" t="n">
        <x:v>2727</x:v>
      </x:c>
      <x:c r="B464" t="str">
        <x:v>1.2.826.0.1.3680043.8.498.54977581323931277817074741182670080450</x:v>
      </x:c>
      <x:c r="C464" t="str">
        <x:v>Spanish</x:v>
      </x:c>
      <x:c r="D464" t="str">
        <x:v>Synovitis</x:v>
      </x:c>
      <x:c r="E464" s="21" t="n">
        <x:v>0</x:v>
      </x:c>
      <x:c r="F464" s="21" t="n">
        <x:v>1</x:v>
      </x:c>
      <x:c r="G464" s="21" t="str">
        <x:f>IF(COUNT(F464)=0,"판정없음",IF(E464=F464,"일치",E464&amp;"→"&amp;F464))</x:f>
        <x:v>0→1</x:v>
      </x:c>
      <x:c r="H464" t="str">
        <x:v>explicit_positive</x:v>
      </x:c>
      <x:c r="I464" s="9" t="str">
        <x:v>Leve derrame articular con mínima sinovitis.</x:v>
      </x:c>
      <x:c r="J464" s="9" t="str">
        <x:v>True</x:v>
      </x:c>
      <x:c r="K464" s="9" t="str"/>
      <x:c r="L464" t="str">
        <x:v>gemma4:e4b</x:v>
      </x:c>
    </x:row>
    <x:row r="465" ht="38" customHeight="1">
      <x:c r="A465" t="n">
        <x:v>2781</x:v>
      </x:c>
      <x:c r="B465" t="str">
        <x:v>1.2.826.0.1.3680043.8.498.56512564464301544960446419143135447363</x:v>
      </x:c>
      <x:c r="C465" t="str">
        <x:v>English</x:v>
      </x:c>
      <x:c r="D465" t="str">
        <x:v>ACL</x:v>
      </x:c>
      <x:c r="E465" s="21" t="n">
        <x:v>0</x:v>
      </x:c>
      <x:c r="F465" s="21" t="n">
        <x:v>0</x:v>
      </x:c>
      <x:c r="G465" s="21" t="str">
        <x:f>IF(COUNT(F465)=0,"판정없음",IF(E465=F465,"일치",E465&amp;"→"&amp;F465))</x:f>
        <x:v>일치</x:v>
      </x:c>
      <x:c r="H465" t="str">
        <x:v>explicit_negative</x:v>
      </x:c>
      <x:c r="I465" s="9" t="str">
        <x:v>ACL normal</x:v>
      </x:c>
      <x:c r="J465" s="9" t="str">
        <x:v>True</x:v>
      </x:c>
      <x:c r="K465" s="9" t="str"/>
      <x:c r="L465" t="str">
        <x:v>gemma4:e4b</x:v>
      </x:c>
    </x:row>
    <x:row r="466" ht="38" customHeight="1">
      <x:c r="A466" t="n">
        <x:v>2781</x:v>
      </x:c>
      <x:c r="B466" t="str">
        <x:v>1.2.826.0.1.3680043.8.498.56512564464301544960446419143135447363</x:v>
      </x:c>
      <x:c r="C466" t="str">
        <x:v>English</x:v>
      </x:c>
      <x:c r="D466" t="str">
        <x:v>Baker's</x:v>
      </x:c>
      <x:c r="E466" s="21" t="n">
        <x:v>0</x:v>
      </x:c>
      <x:c r="F466" s="21" t="n">
        <x:v>0</x:v>
      </x:c>
      <x:c r="G466" s="21" t="str">
        <x:f>IF(COUNT(F466)=0,"판정없음",IF(E466=F466,"일치",E466&amp;"→"&amp;F466))</x:f>
        <x:v>일치</x:v>
      </x:c>
      <x:c r="H466" t="str">
        <x:v>explicit_negative</x:v>
      </x:c>
      <x:c r="I466" s="9" t="str">
        <x:v>No baker's cyst</x:v>
      </x:c>
      <x:c r="J466" s="9" t="str">
        <x:v>True</x:v>
      </x:c>
      <x:c r="K466" s="9" t="str"/>
      <x:c r="L466" t="str">
        <x:v>gemma4:e4b</x:v>
      </x:c>
    </x:row>
    <x:row r="467" ht="38" customHeight="1">
      <x:c r="A467" t="n">
        <x:v>2781</x:v>
      </x:c>
      <x:c r="B467" t="str">
        <x:v>1.2.826.0.1.3680043.8.498.56512564464301544960446419143135447363</x:v>
      </x:c>
      <x:c r="C467" t="str">
        <x:v>English</x:v>
      </x:c>
      <x:c r="D467" t="str">
        <x:v>Contusion</x:v>
      </x:c>
      <x:c r="E467" s="21" t="n">
        <x:v>0</x:v>
      </x:c>
      <x:c r="F467" s="21"/>
      <x:c r="G467" s="21" t="str">
        <x:f>IF(COUNT(F467)=0,"판정없음",IF(E467=F467,"일치",E467&amp;"→"&amp;F467))</x:f>
        <x:v>판정없음</x:v>
      </x:c>
      <x:c r="H467" t="str">
        <x:v>not_mentioned</x:v>
      </x:c>
      <x:c r="I467" s="9" t="str"/>
      <x:c r="J467" s="9" t="str">
        <x:v>True</x:v>
      </x:c>
      <x:c r="K467" s="9" t="str"/>
      <x:c r="L467" t="str">
        <x:v>gemma4:e4b</x:v>
      </x:c>
    </x:row>
    <x:row r="468" ht="38" customHeight="1">
      <x:c r="A468" t="n">
        <x:v>2781</x:v>
      </x:c>
      <x:c r="B468" t="str">
        <x:v>1.2.826.0.1.3680043.8.498.56512564464301544960446419143135447363</x:v>
      </x:c>
      <x:c r="C468" t="str">
        <x:v>English</x:v>
      </x:c>
      <x:c r="D468" t="str">
        <x:v>Effusion</x:v>
      </x:c>
      <x:c r="E468" s="21" t="n">
        <x:v>1</x:v>
      </x:c>
      <x:c r="F468" s="21" t="n">
        <x:v>1</x:v>
      </x:c>
      <x:c r="G468" s="21" t="str">
        <x:f>IF(COUNT(F468)=0,"판정없음",IF(E468=F468,"일치",E468&amp;"→"&amp;F468))</x:f>
        <x:v>일치</x:v>
      </x:c>
      <x:c r="H468" t="str">
        <x:v>explicit_positive</x:v>
      </x:c>
      <x:c r="I468" s="9" t="str">
        <x:v>Effusion with synovitis</x:v>
      </x:c>
      <x:c r="J468" s="9" t="str">
        <x:v>True</x:v>
      </x:c>
      <x:c r="K468" s="9" t="str"/>
      <x:c r="L468" t="str">
        <x:v>gemma4:e4b</x:v>
      </x:c>
    </x:row>
    <x:row r="469" ht="38" customHeight="1">
      <x:c r="A469" t="n">
        <x:v>2781</x:v>
      </x:c>
      <x:c r="B469" t="str">
        <x:v>1.2.826.0.1.3680043.8.498.56512564464301544960446419143135447363</x:v>
      </x:c>
      <x:c r="C469" t="str">
        <x:v>English</x:v>
      </x:c>
      <x:c r="D469" t="str">
        <x:v>Fracture</x:v>
      </x:c>
      <x:c r="E469" s="21" t="n">
        <x:v>0</x:v>
      </x:c>
      <x:c r="F469" s="21"/>
      <x:c r="G469" s="21" t="str">
        <x:f>IF(COUNT(F469)=0,"판정없음",IF(E469=F469,"일치",E469&amp;"→"&amp;F469))</x:f>
        <x:v>판정없음</x:v>
      </x:c>
      <x:c r="H469" t="str">
        <x:v>not_mentioned</x:v>
      </x:c>
      <x:c r="I469" s="9" t="str"/>
      <x:c r="J469" s="9" t="str">
        <x:v>True</x:v>
      </x:c>
      <x:c r="K469" s="9" t="str"/>
      <x:c r="L469" t="str">
        <x:v>gemma4:e4b</x:v>
      </x:c>
    </x:row>
    <x:row r="470" ht="38" customHeight="1">
      <x:c r="A470" t="n">
        <x:v>2781</x:v>
      </x:c>
      <x:c r="B470" t="str">
        <x:v>1.2.826.0.1.3680043.8.498.56512564464301544960446419143135447363</x:v>
      </x:c>
      <x:c r="C470" t="str">
        <x:v>English</x:v>
      </x:c>
      <x:c r="D470" t="str">
        <x:v>Lateral Meniscus</x:v>
      </x:c>
      <x:c r="E470" s="21" t="n">
        <x:v>0</x:v>
      </x:c>
      <x:c r="F470" s="21" t="n">
        <x:v>0</x:v>
      </x:c>
      <x:c r="G470" s="21" t="str">
        <x:f>IF(COUNT(F470)=0,"판정없음",IF(E470=F470,"일치",E470&amp;"→"&amp;F470))</x:f>
        <x:v>일치</x:v>
      </x:c>
      <x:c r="H470" t="str">
        <x:v>explicit_negative</x:v>
      </x:c>
      <x:c r="I470" s="9" t="str">
        <x:v>Lateral meniscus normal</x:v>
      </x:c>
      <x:c r="J470" s="9" t="str">
        <x:v>True</x:v>
      </x:c>
      <x:c r="K470" s="9" t="str"/>
      <x:c r="L470" t="str">
        <x:v>gemma4:e4b</x:v>
      </x:c>
    </x:row>
    <x:row r="471" ht="38" customHeight="1">
      <x:c r="A471" t="n">
        <x:v>2781</x:v>
      </x:c>
      <x:c r="B471" t="str">
        <x:v>1.2.826.0.1.3680043.8.498.56512564464301544960446419143135447363</x:v>
      </x:c>
      <x:c r="C471" t="str">
        <x:v>English</x:v>
      </x:c>
      <x:c r="D471" t="str">
        <x:v>Lateral OA</x:v>
      </x:c>
      <x:c r="E471" s="21" t="n">
        <x:v>0</x:v>
      </x:c>
      <x:c r="F471" s="21"/>
      <x:c r="G471" s="21" t="str">
        <x:f>IF(COUNT(F471)=0,"판정없음",IF(E471=F471,"일치",E471&amp;"→"&amp;F471))</x:f>
        <x:v>판정없음</x:v>
      </x:c>
      <x:c r="H471" t="str">
        <x:v>not_mentioned</x:v>
      </x:c>
      <x:c r="I471" s="9" t="str"/>
      <x:c r="J471" s="9" t="str">
        <x:v>True</x:v>
      </x:c>
      <x:c r="K471" s="9" t="str"/>
      <x:c r="L471" t="str">
        <x:v>gemma4:e4b</x:v>
      </x:c>
    </x:row>
    <x:row r="472" ht="38" customHeight="1">
      <x:c r="A472" t="n">
        <x:v>2781</x:v>
      </x:c>
      <x:c r="B472" t="str">
        <x:v>1.2.826.0.1.3680043.8.498.56512564464301544960446419143135447363</x:v>
      </x:c>
      <x:c r="C472" t="str">
        <x:v>English</x:v>
      </x:c>
      <x:c r="D472" t="str">
        <x:v>MCL</x:v>
      </x:c>
      <x:c r="E472" s="21" t="n">
        <x:v>0</x:v>
      </x:c>
      <x:c r="F472" s="21" t="n">
        <x:v>0</x:v>
      </x:c>
      <x:c r="G472" s="21" t="str">
        <x:f>IF(COUNT(F472)=0,"판정없음",IF(E472=F472,"일치",E472&amp;"→"&amp;F472))</x:f>
        <x:v>일치</x:v>
      </x:c>
      <x:c r="H472" t="str">
        <x:v>explicit_negative</x:v>
      </x:c>
      <x:c r="I472" s="9" t="str">
        <x:v>MCL normal</x:v>
      </x:c>
      <x:c r="J472" s="9" t="str">
        <x:v>True</x:v>
      </x:c>
      <x:c r="K472" s="9" t="str"/>
      <x:c r="L472" t="str">
        <x:v>gemma4:e4b</x:v>
      </x:c>
    </x:row>
    <x:row r="473" ht="38" customHeight="1">
      <x:c r="A473" t="n">
        <x:v>2781</x:v>
      </x:c>
      <x:c r="B473" t="str">
        <x:v>1.2.826.0.1.3680043.8.498.56512564464301544960446419143135447363</x:v>
      </x:c>
      <x:c r="C473" t="str">
        <x:v>English</x:v>
      </x:c>
      <x:c r="D473" t="str">
        <x:v>Medial Meniscus</x:v>
      </x:c>
      <x:c r="E473" s="21" t="n">
        <x:v>0</x:v>
      </x:c>
      <x:c r="F473" s="21"/>
      <x:c r="G473" s="21" t="str">
        <x:f>IF(COUNT(F473)=0,"판정없음",IF(E473=F473,"일치",E473&amp;"→"&amp;F473))</x:f>
        <x:v>판정없음</x:v>
      </x:c>
      <x:c r="H473" t="str">
        <x:v>uncertain_or_indirect</x:v>
      </x:c>
      <x:c r="I473" s="9" t="str">
        <x:v>Medial meniscus mucoid degeneration</x:v>
      </x:c>
      <x:c r="J473" s="9" t="str">
        <x:v>True</x:v>
      </x:c>
      <x:c r="K473" s="9" t="str"/>
      <x:c r="L473" t="str">
        <x:v>gemma4:e4b</x:v>
      </x:c>
    </x:row>
    <x:row r="474" ht="38" customHeight="1">
      <x:c r="A474" t="n">
        <x:v>2781</x:v>
      </x:c>
      <x:c r="B474" t="str">
        <x:v>1.2.826.0.1.3680043.8.498.56512564464301544960446419143135447363</x:v>
      </x:c>
      <x:c r="C474" t="str">
        <x:v>English</x:v>
      </x:c>
      <x:c r="D474" t="str">
        <x:v>Medial OA</x:v>
      </x:c>
      <x:c r="E474" s="21" t="n">
        <x:v>1</x:v>
      </x:c>
      <x:c r="F474" s="21" t="n">
        <x:v>1</x:v>
      </x:c>
      <x:c r="G474" s="21" t="str">
        <x:f>IF(COUNT(F474)=0,"판정없음",IF(E474=F474,"일치",E474&amp;"→"&amp;F474))</x:f>
        <x:v>일치</x:v>
      </x:c>
      <x:c r="H474" t="str">
        <x:v>explicit_positive</x:v>
      </x:c>
      <x:c r="I474" s="9" t="str">
        <x:v>OA of medial compartment</x:v>
      </x:c>
      <x:c r="J474" s="9" t="str">
        <x:v>True</x:v>
      </x:c>
      <x:c r="K474" s="9" t="str"/>
      <x:c r="L474" t="str">
        <x:v>gemma4:e4b</x:v>
      </x:c>
    </x:row>
    <x:row r="475" ht="38" customHeight="1">
      <x:c r="A475" t="n">
        <x:v>2781</x:v>
      </x:c>
      <x:c r="B475" t="str">
        <x:v>1.2.826.0.1.3680043.8.498.56512564464301544960446419143135447363</x:v>
      </x:c>
      <x:c r="C475" t="str">
        <x:v>English</x:v>
      </x:c>
      <x:c r="D475" t="str">
        <x:v>PF OA</x:v>
      </x:c>
      <x:c r="E475" s="21" t="n">
        <x:v>1</x:v>
      </x:c>
      <x:c r="F475" s="21"/>
      <x:c r="G475" s="21" t="str">
        <x:f>IF(COUNT(F475)=0,"판정없음",IF(E475=F475,"일치",E475&amp;"→"&amp;F475))</x:f>
        <x:v>판정없음</x:v>
      </x:c>
      <x:c r="H475" t="str">
        <x:v>not_mentioned</x:v>
      </x:c>
      <x:c r="I475" s="9" t="str"/>
      <x:c r="J475" s="9" t="str">
        <x:v>True</x:v>
      </x:c>
      <x:c r="K475" s="9" t="str"/>
      <x:c r="L475" t="str">
        <x:v>gemma4:e4b</x:v>
      </x:c>
    </x:row>
    <x:row r="476" ht="38" customHeight="1">
      <x:c r="A476" t="n">
        <x:v>2781</x:v>
      </x:c>
      <x:c r="B476" t="str">
        <x:v>1.2.826.0.1.3680043.8.498.56512564464301544960446419143135447363</x:v>
      </x:c>
      <x:c r="C476" t="str">
        <x:v>English</x:v>
      </x:c>
      <x:c r="D476" t="str">
        <x:v>Synovitis</x:v>
      </x:c>
      <x:c r="E476" s="21" t="n">
        <x:v>1</x:v>
      </x:c>
      <x:c r="F476" s="21" t="n">
        <x:v>1</x:v>
      </x:c>
      <x:c r="G476" s="21" t="str">
        <x:f>IF(COUNT(F476)=0,"판정없음",IF(E476=F476,"일치",E476&amp;"→"&amp;F476))</x:f>
        <x:v>일치</x:v>
      </x:c>
      <x:c r="H476" t="str">
        <x:v>explicit_positive</x:v>
      </x:c>
      <x:c r="I476" s="9" t="str">
        <x:v>Effusion with synovitis</x:v>
      </x:c>
      <x:c r="J476" s="9" t="str">
        <x:v>True</x:v>
      </x:c>
      <x:c r="K476" s="9" t="str"/>
      <x:c r="L476" t="str">
        <x:v>gemma4:e4b</x:v>
      </x:c>
    </x:row>
    <x:row r="477" ht="38" customHeight="1">
      <x:c r="A477" t="n">
        <x:v>2885</x:v>
      </x:c>
      <x:c r="B477" t="str">
        <x:v>1.2.826.0.1.3680043.8.498.59483999067816153759785789654766826710</x:v>
      </x:c>
      <x:c r="C477" t="str">
        <x:v>Bulgarian</x:v>
      </x:c>
      <x:c r="D477" t="str">
        <x:v>ACL</x:v>
      </x:c>
      <x:c r="E477" s="21" t="n">
        <x:v>1</x:v>
      </x:c>
      <x:c r="F477" s="21" t="n">
        <x:v>1</x:v>
      </x:c>
      <x:c r="G477" s="21" t="str">
        <x:f>IF(COUNT(F477)=0,"판정없음",IF(E477=F477,"일치",E477&amp;"→"&amp;F477))</x:f>
        <x:v>일치</x:v>
      </x:c>
      <x:c r="H477" t="str">
        <x:v>explicit_positive</x:v>
      </x:c>
      <x:c r="I477" s="9" t="str">
        <x:v>МР данни за руптура на предната кръстна връзка</x:v>
      </x:c>
      <x:c r="J477" s="9" t="str">
        <x:v>True</x:v>
      </x:c>
      <x:c r="K477" s="9" t="str"/>
      <x:c r="L477" t="str">
        <x:v>gemma4:e4b</x:v>
      </x:c>
    </x:row>
    <x:row r="478" ht="38" customHeight="1">
      <x:c r="A478" t="n">
        <x:v>2885</x:v>
      </x:c>
      <x:c r="B478" t="str">
        <x:v>1.2.826.0.1.3680043.8.498.59483999067816153759785789654766826710</x:v>
      </x:c>
      <x:c r="C478" t="str">
        <x:v>Bulgarian</x:v>
      </x:c>
      <x:c r="D478" t="str">
        <x:v>Baker's</x:v>
      </x:c>
      <x:c r="E478" s="21" t="n">
        <x:v>0</x:v>
      </x:c>
      <x:c r="F478" s="21"/>
      <x:c r="G478" s="21" t="str">
        <x:f>IF(COUNT(F478)=0,"판정없음",IF(E478=F478,"일치",E478&amp;"→"&amp;F478))</x:f>
        <x:v>판정없음</x:v>
      </x:c>
      <x:c r="H478" t="str">
        <x:v>not_mentioned</x:v>
      </x:c>
      <x:c r="I478" s="9" t="str"/>
      <x:c r="J478" s="9" t="str">
        <x:v>True</x:v>
      </x:c>
      <x:c r="K478" s="9" t="str"/>
      <x:c r="L478" t="str">
        <x:v>gemma4:e4b</x:v>
      </x:c>
    </x:row>
    <x:row r="479" ht="38" customHeight="1">
      <x:c r="A479" t="n">
        <x:v>2885</x:v>
      </x:c>
      <x:c r="B479" t="str">
        <x:v>1.2.826.0.1.3680043.8.498.59483999067816153759785789654766826710</x:v>
      </x:c>
      <x:c r="C479" t="str">
        <x:v>Bulgarian</x:v>
      </x:c>
      <x:c r="D479" t="str">
        <x:v>Contusion</x:v>
      </x:c>
      <x:c r="E479" s="21" t="n">
        <x:v>1</x:v>
      </x:c>
      <x:c r="F479" s="21" t="n">
        <x:v>1</x:v>
      </x:c>
      <x:c r="G479" s="21" t="str">
        <x:f>IF(COUNT(F479)=0,"판정없음",IF(E479=F479,"일치",E479&amp;"→"&amp;F479))</x:f>
        <x:v>일치</x:v>
      </x:c>
      <x:c r="H479" t="str">
        <x:v>explicit_positive</x:v>
      </x:c>
      <x:c r="I479" s="9" t="str">
        <x:v>Контузионен костно-мозъчен едем се визуализира и в латералния феморален кондил.</x:v>
      </x:c>
      <x:c r="J479" s="9" t="str">
        <x:v>True</x:v>
      </x:c>
      <x:c r="K479" s="9" t="str">
        <x:v>bone contusion</x:v>
      </x:c>
      <x:c r="L479" t="str">
        <x:v>gemma4:e4b</x:v>
      </x:c>
    </x:row>
    <x:row r="480" ht="38" customHeight="1">
      <x:c r="A480" t="n">
        <x:v>2885</x:v>
      </x:c>
      <x:c r="B480" t="str">
        <x:v>1.2.826.0.1.3680043.8.498.59483999067816153759785789654766826710</x:v>
      </x:c>
      <x:c r="C480" t="str">
        <x:v>Bulgarian</x:v>
      </x:c>
      <x:c r="D480" t="str">
        <x:v>Effusion</x:v>
      </x:c>
      <x:c r="E480" s="21" t="n">
        <x:v>1</x:v>
      </x:c>
      <x:c r="F480" s="21" t="n">
        <x:v>1</x:v>
      </x:c>
      <x:c r="G480" s="21" t="str">
        <x:f>IF(COUNT(F480)=0,"판정없음",IF(E480=F480,"일치",E480&amp;"→"&amp;F480))</x:f>
        <x:v>일치</x:v>
      </x:c>
      <x:c r="H480" t="str">
        <x:v>explicit_positive</x:v>
      </x:c>
      <x:c r="I480" s="9" t="str">
        <x:v>Хеморагичен излив в ставата.</x:v>
      </x:c>
      <x:c r="J480" s="9" t="str">
        <x:v>True</x:v>
      </x:c>
      <x:c r="K480" s="9" t="str">
        <x:v>Ставен излив</x:v>
      </x:c>
      <x:c r="L480" t="str">
        <x:v>gemma4:e4b</x:v>
      </x:c>
    </x:row>
    <x:row r="481" ht="38" customHeight="1">
      <x:c r="A481" t="n">
        <x:v>2885</x:v>
      </x:c>
      <x:c r="B481" t="str">
        <x:v>1.2.826.0.1.3680043.8.498.59483999067816153759785789654766826710</x:v>
      </x:c>
      <x:c r="C481" t="str">
        <x:v>Bulgarian</x:v>
      </x:c>
      <x:c r="D481" t="str">
        <x:v>Fracture</x:v>
      </x:c>
      <x:c r="E481" s="21" t="n">
        <x:v>1</x:v>
      </x:c>
      <x:c r="F481" s="21" t="n">
        <x:v>1</x:v>
      </x:c>
      <x:c r="G481" s="21" t="str">
        <x:f>IF(COUNT(F481)=0,"판정없음",IF(E481=F481,"일치",E481&amp;"→"&amp;F481))</x:f>
        <x:v>일치</x:v>
      </x:c>
      <x:c r="H481" t="str">
        <x:v>explicit_positive</x:v>
      </x:c>
      <x:c r="I481" s="9" t="str">
        <x:v>МР данни за фрактура в областта на латералното тибиално плато, без дислокация.</x:v>
      </x:c>
      <x:c r="J481" s="9" t="str">
        <x:v>True</x:v>
      </x:c>
      <x:c r="K481" s="9" t="str">
        <x:v>латералното тибиално плато</x:v>
      </x:c>
      <x:c r="L481" t="str">
        <x:v>gemma4:e4b</x:v>
      </x:c>
    </x:row>
    <x:row r="482" ht="38" customHeight="1">
      <x:c r="A482" t="n">
        <x:v>2885</x:v>
      </x:c>
      <x:c r="B482" t="str">
        <x:v>1.2.826.0.1.3680043.8.498.59483999067816153759785789654766826710</x:v>
      </x:c>
      <x:c r="C482" t="str">
        <x:v>Bulgarian</x:v>
      </x:c>
      <x:c r="D482" t="str">
        <x:v>Lateral Meniscus</x:v>
      </x:c>
      <x:c r="E482" s="21" t="n">
        <x:v>0</x:v>
      </x:c>
      <x:c r="F482" s="21"/>
      <x:c r="G482" s="21" t="str">
        <x:f>IF(COUNT(F482)=0,"판정없음",IF(E482=F482,"일치",E482&amp;"→"&amp;F482))</x:f>
        <x:v>판정없음</x:v>
      </x:c>
      <x:c r="H482" t="str">
        <x:v>not_mentioned</x:v>
      </x:c>
      <x:c r="I482" s="9" t="str"/>
      <x:c r="J482" s="9" t="str">
        <x:v>True</x:v>
      </x:c>
      <x:c r="K482" s="9" t="str"/>
      <x:c r="L482" t="str">
        <x:v>gemma4:e4b</x:v>
      </x:c>
    </x:row>
    <x:row r="483" ht="38" customHeight="1">
      <x:c r="A483" t="n">
        <x:v>2885</x:v>
      </x:c>
      <x:c r="B483" t="str">
        <x:v>1.2.826.0.1.3680043.8.498.59483999067816153759785789654766826710</x:v>
      </x:c>
      <x:c r="C483" t="str">
        <x:v>Bulgarian</x:v>
      </x:c>
      <x:c r="D483" t="str">
        <x:v>Lateral OA</x:v>
      </x:c>
      <x:c r="E483" s="21" t="n">
        <x:v>0</x:v>
      </x:c>
      <x:c r="F483" s="21"/>
      <x:c r="G483" s="21" t="str">
        <x:f>IF(COUNT(F483)=0,"판정없음",IF(E483=F483,"일치",E483&amp;"→"&amp;F483))</x:f>
        <x:v>판정없음</x:v>
      </x:c>
      <x:c r="H483" t="str">
        <x:v>not_mentioned</x:v>
      </x:c>
      <x:c r="I483" s="9" t="str"/>
      <x:c r="J483" s="9" t="str">
        <x:v>True</x:v>
      </x:c>
      <x:c r="K483" s="9" t="str"/>
      <x:c r="L483" t="str">
        <x:v>gemma4:e4b</x:v>
      </x:c>
    </x:row>
    <x:row r="484" ht="38" customHeight="1">
      <x:c r="A484" t="n">
        <x:v>2885</x:v>
      </x:c>
      <x:c r="B484" t="str">
        <x:v>1.2.826.0.1.3680043.8.498.59483999067816153759785789654766826710</x:v>
      </x:c>
      <x:c r="C484" t="str">
        <x:v>Bulgarian</x:v>
      </x:c>
      <x:c r="D484" t="str">
        <x:v>MCL</x:v>
      </x:c>
      <x:c r="E484" s="21" t="n">
        <x:v>0</x:v>
      </x:c>
      <x:c r="F484" s="21"/>
      <x:c r="G484" s="21" t="str">
        <x:f>IF(COUNT(F484)=0,"판정없음",IF(E484=F484,"일치",E484&amp;"→"&amp;F484))</x:f>
        <x:v>판정없음</x:v>
      </x:c>
      <x:c r="H484" t="str">
        <x:v>not_mentioned</x:v>
      </x:c>
      <x:c r="I484" s="9" t="str"/>
      <x:c r="J484" s="9" t="str">
        <x:v>True</x:v>
      </x:c>
      <x:c r="K484" s="9" t="str"/>
      <x:c r="L484" t="str">
        <x:v>gemma4:e4b</x:v>
      </x:c>
    </x:row>
    <x:row r="485" ht="38" customHeight="1">
      <x:c r="A485" t="n">
        <x:v>2885</x:v>
      </x:c>
      <x:c r="B485" t="str">
        <x:v>1.2.826.0.1.3680043.8.498.59483999067816153759785789654766826710</x:v>
      </x:c>
      <x:c r="C485" t="str">
        <x:v>Bulgarian</x:v>
      </x:c>
      <x:c r="D485" t="str">
        <x:v>Medial Meniscus</x:v>
      </x:c>
      <x:c r="E485" s="21" t="n">
        <x:v>0</x:v>
      </x:c>
      <x:c r="F485" s="21"/>
      <x:c r="G485" s="21" t="str">
        <x:f>IF(COUNT(F485)=0,"판정없음",IF(E485=F485,"일치",E485&amp;"→"&amp;F485))</x:f>
        <x:v>판정없음</x:v>
      </x:c>
      <x:c r="H485" t="str">
        <x:v>not_mentioned</x:v>
      </x:c>
      <x:c r="I485" s="9" t="str"/>
      <x:c r="J485" s="9" t="str">
        <x:v>True</x:v>
      </x:c>
      <x:c r="K485" s="9" t="str"/>
      <x:c r="L485" t="str">
        <x:v>gemma4:e4b</x:v>
      </x:c>
    </x:row>
    <x:row r="486" ht="38" customHeight="1">
      <x:c r="A486" t="n">
        <x:v>2885</x:v>
      </x:c>
      <x:c r="B486" t="str">
        <x:v>1.2.826.0.1.3680043.8.498.59483999067816153759785789654766826710</x:v>
      </x:c>
      <x:c r="C486" t="str">
        <x:v>Bulgarian</x:v>
      </x:c>
      <x:c r="D486" t="str">
        <x:v>Medial OA</x:v>
      </x:c>
      <x:c r="E486" s="21" t="n">
        <x:v>0</x:v>
      </x:c>
      <x:c r="F486" s="21"/>
      <x:c r="G486" s="21" t="str">
        <x:f>IF(COUNT(F486)=0,"판정없음",IF(E486=F486,"일치",E486&amp;"→"&amp;F486))</x:f>
        <x:v>판정없음</x:v>
      </x:c>
      <x:c r="H486" t="str">
        <x:v>not_mentioned</x:v>
      </x:c>
      <x:c r="I486" s="9" t="str"/>
      <x:c r="J486" s="9" t="str">
        <x:v>True</x:v>
      </x:c>
      <x:c r="K486" s="9" t="str"/>
      <x:c r="L486" t="str">
        <x:v>gemma4:e4b</x:v>
      </x:c>
    </x:row>
    <x:row r="487" ht="38" customHeight="1">
      <x:c r="A487" t="n">
        <x:v>2885</x:v>
      </x:c>
      <x:c r="B487" t="str">
        <x:v>1.2.826.0.1.3680043.8.498.59483999067816153759785789654766826710</x:v>
      </x:c>
      <x:c r="C487" t="str">
        <x:v>Bulgarian</x:v>
      </x:c>
      <x:c r="D487" t="str">
        <x:v>PF OA</x:v>
      </x:c>
      <x:c r="E487" s="21" t="n">
        <x:v>0</x:v>
      </x:c>
      <x:c r="F487" s="21"/>
      <x:c r="G487" s="21" t="str">
        <x:f>IF(COUNT(F487)=0,"판정없음",IF(E487=F487,"일치",E487&amp;"→"&amp;F487))</x:f>
        <x:v>판정없음</x:v>
      </x:c>
      <x:c r="H487" t="str">
        <x:v>not_mentioned</x:v>
      </x:c>
      <x:c r="I487" s="9" t="str"/>
      <x:c r="J487" s="9" t="str">
        <x:v>True</x:v>
      </x:c>
      <x:c r="K487" s="9" t="str"/>
      <x:c r="L487" t="str">
        <x:v>gemma4:e4b</x:v>
      </x:c>
    </x:row>
    <x:row r="488" ht="38" customHeight="1">
      <x:c r="A488" t="n">
        <x:v>2885</x:v>
      </x:c>
      <x:c r="B488" t="str">
        <x:v>1.2.826.0.1.3680043.8.498.59483999067816153759785789654766826710</x:v>
      </x:c>
      <x:c r="C488" t="str">
        <x:v>Bulgarian</x:v>
      </x:c>
      <x:c r="D488" t="str">
        <x:v>Synovitis</x:v>
      </x:c>
      <x:c r="E488" s="21" t="n">
        <x:v>1</x:v>
      </x:c>
      <x:c r="F488" s="21"/>
      <x:c r="G488" s="21" t="str">
        <x:f>IF(COUNT(F488)=0,"판정없음",IF(E488=F488,"일치",E488&amp;"→"&amp;F488))</x:f>
        <x:v>판정없음</x:v>
      </x:c>
      <x:c r="H488" t="str">
        <x:v>not_mentioned</x:v>
      </x:c>
      <x:c r="I488" s="9" t="str"/>
      <x:c r="J488" s="9" t="str">
        <x:v>True</x:v>
      </x:c>
      <x:c r="K488" s="9" t="str"/>
      <x:c r="L488" t="str">
        <x:v>gemma4:e4b</x:v>
      </x:c>
    </x:row>
    <x:row r="489" ht="38" customHeight="1">
      <x:c r="A489" t="n">
        <x:v>2981</x:v>
      </x:c>
      <x:c r="B489" t="str">
        <x:v>1.2.826.0.1.3680043.8.498.62465595376489211274225312453216559395</x:v>
      </x:c>
      <x:c r="C489" t="str">
        <x:v>English</x:v>
      </x:c>
      <x:c r="D489" t="str">
        <x:v>ACL</x:v>
      </x:c>
      <x:c r="E489" s="21" t="n">
        <x:v>1</x:v>
      </x:c>
      <x:c r="F489" s="21" t="n">
        <x:v>1</x:v>
      </x:c>
      <x:c r="G489" s="21" t="str">
        <x:f>IF(COUNT(F489)=0,"판정없음",IF(E489=F489,"일치",E489&amp;"→"&amp;F489))</x:f>
        <x:v>일치</x:v>
      </x:c>
      <x:c r="H489" t="str">
        <x:v>explicit_positive</x:v>
      </x:c>
      <x:c r="I489" s="9" t="str">
        <x:v>Complete rupture of the ACL</x:v>
      </x:c>
      <x:c r="J489" s="9" t="str">
        <x:v>True</x:v>
      </x:c>
      <x:c r="K489" s="9" t="str">
        <x:v>anterior cruciate ligament injury</x:v>
      </x:c>
      <x:c r="L489" t="str">
        <x:v>gemma4:e4b</x:v>
      </x:c>
    </x:row>
    <x:row r="490" ht="38" customHeight="1">
      <x:c r="A490" t="n">
        <x:v>2981</x:v>
      </x:c>
      <x:c r="B490" t="str">
        <x:v>1.2.826.0.1.3680043.8.498.62465595376489211274225312453216559395</x:v>
      </x:c>
      <x:c r="C490" t="str">
        <x:v>English</x:v>
      </x:c>
      <x:c r="D490" t="str">
        <x:v>Baker's</x:v>
      </x:c>
      <x:c r="E490" s="21" t="n">
        <x:v>0</x:v>
      </x:c>
      <x:c r="F490" s="21"/>
      <x:c r="G490" s="21" t="str">
        <x:f>IF(COUNT(F490)=0,"판정없음",IF(E490=F490,"일치",E490&amp;"→"&amp;F490))</x:f>
        <x:v>판정없음</x:v>
      </x:c>
      <x:c r="H490" t="str">
        <x:v>not_mentioned</x:v>
      </x:c>
      <x:c r="I490" s="9" t="str"/>
      <x:c r="J490" s="9" t="str">
        <x:v>True</x:v>
      </x:c>
      <x:c r="K490" s="9" t="str">
        <x:v>Baker's cyst / popliteal cyst</x:v>
      </x:c>
      <x:c r="L490" t="str">
        <x:v>gemma4:e4b</x:v>
      </x:c>
    </x:row>
    <x:row r="491" ht="38" customHeight="1">
      <x:c r="A491" t="n">
        <x:v>2981</x:v>
      </x:c>
      <x:c r="B491" t="str">
        <x:v>1.2.826.0.1.3680043.8.498.62465595376489211274225312453216559395</x:v>
      </x:c>
      <x:c r="C491" t="str">
        <x:v>English</x:v>
      </x:c>
      <x:c r="D491" t="str">
        <x:v>Contusion</x:v>
      </x:c>
      <x:c r="E491" s="21" t="n">
        <x:v>0</x:v>
      </x:c>
      <x:c r="F491" s="21" t="n">
        <x:v>1</x:v>
      </x:c>
      <x:c r="G491" s="21" t="str">
        <x:f>IF(COUNT(F491)=0,"판정없음",IF(E491=F491,"일치",E491&amp;"→"&amp;F491))</x:f>
        <x:v>0→1</x:v>
      </x:c>
      <x:c r="H491" t="str">
        <x:v>explicit_positive</x:v>
      </x:c>
      <x:c r="I491" s="9" t="str">
        <x:v>Tiny bone bruise at the posterior aspect of the lateral tibial plateau</x:v>
      </x:c>
      <x:c r="J491" s="9" t="str">
        <x:v>True</x:v>
      </x:c>
      <x:c r="K491" s="9" t="str">
        <x:v>bone contusion / bone bruise</x:v>
      </x:c>
      <x:c r="L491" t="str">
        <x:v>gemma4:e4b</x:v>
      </x:c>
    </x:row>
    <x:row r="492" ht="38" customHeight="1">
      <x:c r="A492" t="n">
        <x:v>2981</x:v>
      </x:c>
      <x:c r="B492" t="str">
        <x:v>1.2.826.0.1.3680043.8.498.62465595376489211274225312453216559395</x:v>
      </x:c>
      <x:c r="C492" t="str">
        <x:v>English</x:v>
      </x:c>
      <x:c r="D492" t="str">
        <x:v>Effusion</x:v>
      </x:c>
      <x:c r="E492" s="21" t="n">
        <x:v>1</x:v>
      </x:c>
      <x:c r="F492" s="21" t="n">
        <x:v>1</x:v>
      </x:c>
      <x:c r="G492" s="21" t="str">
        <x:f>IF(COUNT(F492)=0,"판정없음",IF(E492=F492,"일치",E492&amp;"→"&amp;F492))</x:f>
        <x:v>일치</x:v>
      </x:c>
      <x:c r="H492" t="str">
        <x:v>explicit_positive</x:v>
      </x:c>
      <x:c r="I492" s="9" t="str">
        <x:v>Small joint effusion</x:v>
      </x:c>
      <x:c r="J492" s="9" t="str">
        <x:v>True</x:v>
      </x:c>
      <x:c r="K492" s="9" t="str">
        <x:v>knee joint effusion or excess intra-articular fluid</x:v>
      </x:c>
      <x:c r="L492" t="str">
        <x:v>gemma4:e4b</x:v>
      </x:c>
    </x:row>
    <x:row r="493" ht="38" customHeight="1">
      <x:c r="A493" t="n">
        <x:v>2981</x:v>
      </x:c>
      <x:c r="B493" t="str">
        <x:v>1.2.826.0.1.3680043.8.498.62465595376489211274225312453216559395</x:v>
      </x:c>
      <x:c r="C493" t="str">
        <x:v>English</x:v>
      </x:c>
      <x:c r="D493" t="str">
        <x:v>Fracture</x:v>
      </x:c>
      <x:c r="E493" s="21" t="n">
        <x:v>1</x:v>
      </x:c>
      <x:c r="F493" s="21" t="n">
        <x:v>1</x:v>
      </x:c>
      <x:c r="G493" s="21" t="str">
        <x:f>IF(COUNT(F493)=0,"판정없음",IF(E493=F493,"일치",E493&amp;"→"&amp;F493))</x:f>
        <x:v>일치</x:v>
      </x:c>
      <x:c r="H493" t="str">
        <x:v>explicit_positive</x:v>
      </x:c>
      <x:c r="I493" s="9" t="str">
        <x:v>Subchondral fracture in the lateral tibial plateau extending for an AP dimension of 2.7 cm with underlying bony edema</x:v>
      </x:c>
      <x:c r="J493" s="9" t="str">
        <x:v>True</x:v>
      </x:c>
      <x:c r="K493" s="9" t="str">
        <x:v>fracture, including stress or insufficiency fracture when directly asserted</x:v>
      </x:c>
      <x:c r="L493" t="str">
        <x:v>gemma4:e4b</x:v>
      </x:c>
    </x:row>
    <x:row r="494" ht="38" customHeight="1">
      <x:c r="A494" t="n">
        <x:v>2981</x:v>
      </x:c>
      <x:c r="B494" t="str">
        <x:v>1.2.826.0.1.3680043.8.498.62465595376489211274225312453216559395</x:v>
      </x:c>
      <x:c r="C494" t="str">
        <x:v>English</x:v>
      </x:c>
      <x:c r="D494" t="str">
        <x:v>Lateral Meniscus</x:v>
      </x:c>
      <x:c r="E494" s="21" t="n">
        <x:v>0</x:v>
      </x:c>
      <x:c r="F494" s="21" t="n">
        <x:v>0</x:v>
      </x:c>
      <x:c r="G494" s="21" t="str">
        <x:f>IF(COUNT(F494)=0,"판정없음",IF(E494=F494,"일치",E494&amp;"→"&amp;F494))</x:f>
        <x:v>일치</x:v>
      </x:c>
      <x:c r="H494" t="str">
        <x:v>explicit_negative</x:v>
      </x:c>
      <x:c r="I494" s="9" t="str">
        <x:v>No lateral meniscal tear</x:v>
      </x:c>
      <x:c r="J494" s="9" t="str">
        <x:v>True</x:v>
      </x:c>
      <x:c r="K494" s="9" t="str">
        <x:v>lateral meniscus tear</x:v>
      </x:c>
      <x:c r="L494" t="str">
        <x:v>gemma4:e4b</x:v>
      </x:c>
    </x:row>
    <x:row r="495" ht="38" customHeight="1">
      <x:c r="A495" t="n">
        <x:v>2981</x:v>
      </x:c>
      <x:c r="B495" t="str">
        <x:v>1.2.826.0.1.3680043.8.498.62465595376489211274225312453216559395</x:v>
      </x:c>
      <x:c r="C495" t="str">
        <x:v>English</x:v>
      </x:c>
      <x:c r="D495" t="str">
        <x:v>Lateral OA</x:v>
      </x:c>
      <x:c r="E495" s="21" t="n">
        <x:v>1</x:v>
      </x:c>
      <x:c r="F495" s="21"/>
      <x:c r="G495" s="21" t="str">
        <x:f>IF(COUNT(F495)=0,"판정없음",IF(E495=F495,"일치",E495&amp;"→"&amp;F495))</x:f>
        <x:v>판정없음</x:v>
      </x:c>
      <x:c r="H495" t="str">
        <x:v>not_mentioned</x:v>
      </x:c>
      <x:c r="I495" s="9" t="str"/>
      <x:c r="J495" s="9" t="str">
        <x:v>True</x:v>
      </x:c>
      <x:c r="K495" s="9" t="str">
        <x:v>lateral tibiofemoral compartment</x:v>
      </x:c>
      <x:c r="L495" t="str">
        <x:v>gemma4:e4b</x:v>
      </x:c>
    </x:row>
    <x:row r="496" ht="38" customHeight="1">
      <x:c r="A496" t="n">
        <x:v>2981</x:v>
      </x:c>
      <x:c r="B496" t="str">
        <x:v>1.2.826.0.1.3680043.8.498.62465595376489211274225312453216559395</x:v>
      </x:c>
      <x:c r="C496" t="str">
        <x:v>English</x:v>
      </x:c>
      <x:c r="D496" t="str">
        <x:v>MCL</x:v>
      </x:c>
      <x:c r="E496" s="21" t="n">
        <x:v>1</x:v>
      </x:c>
      <x:c r="F496" s="21" t="n">
        <x:v>1</x:v>
      </x:c>
      <x:c r="G496" s="21" t="str">
        <x:f>IF(COUNT(F496)=0,"판정없음",IF(E496=F496,"일치",E496&amp;"→"&amp;F496))</x:f>
        <x:v>일치</x:v>
      </x:c>
      <x:c r="H496" t="str">
        <x:v>explicit_positive</x:v>
      </x:c>
      <x:c r="I496" s="9" t="str">
        <x:v>Complete rupture of the MCL at the level of the medial jointline</x:v>
      </x:c>
      <x:c r="J496" s="9" t="str">
        <x:v>True</x:v>
      </x:c>
      <x:c r="K496" s="9" t="str">
        <x:v>medial collateral ligament injury</x:v>
      </x:c>
      <x:c r="L496" t="str">
        <x:v>gemma4:e4b</x:v>
      </x:c>
    </x:row>
    <x:row r="497" ht="38" customHeight="1">
      <x:c r="A497" t="n">
        <x:v>2981</x:v>
      </x:c>
      <x:c r="B497" t="str">
        <x:v>1.2.826.0.1.3680043.8.498.62465595376489211274225312453216559395</x:v>
      </x:c>
      <x:c r="C497" t="str">
        <x:v>English</x:v>
      </x:c>
      <x:c r="D497" t="str">
        <x:v>Medial Meniscus</x:v>
      </x:c>
      <x:c r="E497" s="21" t="n">
        <x:v>1</x:v>
      </x:c>
      <x:c r="F497" s="21" t="n">
        <x:v>1</x:v>
      </x:c>
      <x:c r="G497" s="21" t="str">
        <x:f>IF(COUNT(F497)=0,"판정없음",IF(E497=F497,"일치",E497&amp;"→"&amp;F497))</x:f>
        <x:v>일치</x:v>
      </x:c>
      <x:c r="H497" t="str">
        <x:v>explicit_positive</x:v>
      </x:c>
      <x:c r="I497" s="9" t="str">
        <x:v>Vertical tear in the periphery of the posterior horn of the medial meniscus</x:v>
      </x:c>
      <x:c r="J497" s="9" t="str">
        <x:v>True</x:v>
      </x:c>
      <x:c r="K497" s="9" t="str">
        <x:v>medial meniscus tear</x:v>
      </x:c>
      <x:c r="L497" t="str">
        <x:v>gemma4:e4b</x:v>
      </x:c>
    </x:row>
    <x:row r="498" ht="38" customHeight="1">
      <x:c r="A498" t="n">
        <x:v>2981</x:v>
      </x:c>
      <x:c r="B498" t="str">
        <x:v>1.2.826.0.1.3680043.8.498.62465595376489211274225312453216559395</x:v>
      </x:c>
      <x:c r="C498" t="str">
        <x:v>English</x:v>
      </x:c>
      <x:c r="D498" t="str">
        <x:v>Medial OA</x:v>
      </x:c>
      <x:c r="E498" s="21" t="n">
        <x:v>0</x:v>
      </x:c>
      <x:c r="F498" s="21"/>
      <x:c r="G498" s="21" t="str">
        <x:f>IF(COUNT(F498)=0,"판정없음",IF(E498=F498,"일치",E498&amp;"→"&amp;F498))</x:f>
        <x:v>판정없음</x:v>
      </x:c>
      <x:c r="H498" t="str">
        <x:v>not_mentioned</x:v>
      </x:c>
      <x:c r="I498" s="9" t="str"/>
      <x:c r="J498" s="9" t="str">
        <x:v>True</x:v>
      </x:c>
      <x:c r="K498" s="9" t="str">
        <x:v>medial tibiofemoral compartment</x:v>
      </x:c>
      <x:c r="L498" t="str">
        <x:v>gemma4:e4b</x:v>
      </x:c>
    </x:row>
    <x:row r="499" ht="38" customHeight="1">
      <x:c r="A499" t="n">
        <x:v>2981</x:v>
      </x:c>
      <x:c r="B499" t="str">
        <x:v>1.2.826.0.1.3680043.8.498.62465595376489211274225312453216559395</x:v>
      </x:c>
      <x:c r="C499" t="str">
        <x:v>English</x:v>
      </x:c>
      <x:c r="D499" t="str">
        <x:v>PF OA</x:v>
      </x:c>
      <x:c r="E499" s="21" t="n">
        <x:v>0</x:v>
      </x:c>
      <x:c r="F499" s="21"/>
      <x:c r="G499" s="21" t="str">
        <x:f>IF(COUNT(F499)=0,"판정없음",IF(E499=F499,"일치",E499&amp;"→"&amp;F499))</x:f>
        <x:v>판정없음</x:v>
      </x:c>
      <x:c r="H499" t="str">
        <x:v>not_mentioned</x:v>
      </x:c>
      <x:c r="I499" s="9" t="str"/>
      <x:c r="J499" s="9" t="str">
        <x:v>True</x:v>
      </x:c>
      <x:c r="K499" s="9" t="str">
        <x:v>patellofemoral osteoarthritis</x:v>
      </x:c>
      <x:c r="L499" t="str">
        <x:v>gemma4:e4b</x:v>
      </x:c>
    </x:row>
    <x:row r="500" ht="38" customHeight="1">
      <x:c r="A500" t="n">
        <x:v>2981</x:v>
      </x:c>
      <x:c r="B500" t="str">
        <x:v>1.2.826.0.1.3680043.8.498.62465595376489211274225312453216559395</x:v>
      </x:c>
      <x:c r="C500" t="str">
        <x:v>English</x:v>
      </x:c>
      <x:c r="D500" t="str">
        <x:v>Synovitis</x:v>
      </x:c>
      <x:c r="E500" s="21" t="n">
        <x:v>1</x:v>
      </x:c>
      <x:c r="F500" s="21"/>
      <x:c r="G500" s="21" t="str">
        <x:f>IF(COUNT(F500)=0,"판정없음",IF(E500=F500,"일치",E500&amp;"→"&amp;F500))</x:f>
        <x:v>판정없음</x:v>
      </x:c>
      <x:c r="H500" t="str">
        <x:v>not_mentioned</x:v>
      </x:c>
      <x:c r="I500" s="9" t="str"/>
      <x:c r="J500" s="9" t="str">
        <x:v>True</x:v>
      </x:c>
      <x:c r="K500" s="9" t="str">
        <x:v>inflammation of the synovial lining</x:v>
      </x:c>
      <x:c r="L500" t="str">
        <x:v>gemma4:e4b</x:v>
      </x:c>
    </x:row>
    <x:row r="501" ht="38" customHeight="1">
      <x:c r="A501" t="n">
        <x:v>2982</x:v>
      </x:c>
      <x:c r="B501" t="str">
        <x:v>1.2.826.0.1.3680043.8.498.62549354677638403845904556149868367236</x:v>
      </x:c>
      <x:c r="C501" t="str">
        <x:v>Dutch</x:v>
      </x:c>
      <x:c r="D501" t="str">
        <x:v>ACL</x:v>
      </x:c>
      <x:c r="E501" s="21" t="n">
        <x:v>1</x:v>
      </x:c>
      <x:c r="F501" s="21" t="n">
        <x:v>1</x:v>
      </x:c>
      <x:c r="G501" s="21" t="str">
        <x:f>IF(COUNT(F501)=0,"판정없음",IF(E501=F501,"일치",E501&amp;"→"&amp;F501))</x:f>
        <x:v>일치</x:v>
      </x:c>
      <x:c r="H501" t="str">
        <x:v>explicit_positive</x:v>
      </x:c>
      <x:c r="I501" s="9" t="str">
        <x:v>Volledige ruptuur van de voorste kruisband</x:v>
      </x:c>
      <x:c r="J501" s="9" t="str">
        <x:v>True</x:v>
      </x:c>
      <x:c r="K501" s="9" t="str">
        <x:v>voorste kruisband</x:v>
      </x:c>
      <x:c r="L501" t="str">
        <x:v>gemma4:e4b</x:v>
      </x:c>
    </x:row>
    <x:row r="502" ht="38" customHeight="1">
      <x:c r="A502" t="n">
        <x:v>2982</x:v>
      </x:c>
      <x:c r="B502" t="str">
        <x:v>1.2.826.0.1.3680043.8.498.62549354677638403845904556149868367236</x:v>
      </x:c>
      <x:c r="C502" t="str">
        <x:v>Dutch</x:v>
      </x:c>
      <x:c r="D502" t="str">
        <x:v>Baker's</x:v>
      </x:c>
      <x:c r="E502" s="21" t="n">
        <x:v>0</x:v>
      </x:c>
      <x:c r="F502" s="21"/>
      <x:c r="G502" s="21" t="str">
        <x:f>IF(COUNT(F502)=0,"판정없음",IF(E502=F502,"일치",E502&amp;"→"&amp;F502))</x:f>
        <x:v>판정없음</x:v>
      </x:c>
      <x:c r="H502" t="str">
        <x:v>not_mentioned</x:v>
      </x:c>
      <x:c r="I502" s="9" t="str"/>
      <x:c r="J502" s="9" t="str">
        <x:v>True</x:v>
      </x:c>
      <x:c r="K502" s="9" t="str"/>
      <x:c r="L502" t="str">
        <x:v>gemma4:e4b</x:v>
      </x:c>
    </x:row>
    <x:row r="503" ht="38" customHeight="1">
      <x:c r="A503" t="n">
        <x:v>2982</x:v>
      </x:c>
      <x:c r="B503" t="str">
        <x:v>1.2.826.0.1.3680043.8.498.62549354677638403845904556149868367236</x:v>
      </x:c>
      <x:c r="C503" t="str">
        <x:v>Dutch</x:v>
      </x:c>
      <x:c r="D503" t="str">
        <x:v>Contusion</x:v>
      </x:c>
      <x:c r="E503" s="21" t="n">
        <x:v>1</x:v>
      </x:c>
      <x:c r="F503" s="21" t="n">
        <x:v>1</x:v>
      </x:c>
      <x:c r="G503" s="21" t="str">
        <x:f>IF(COUNT(F503)=0,"판정없음",IF(E503=F503,"일치",E503&amp;"→"&amp;F503))</x:f>
        <x:v>일치</x:v>
      </x:c>
      <x:c r="H503" t="str">
        <x:v>explicit_positive</x:v>
      </x:c>
      <x:c r="I503" s="9" t="str">
        <x:v>Minstens botcontusie</x:v>
      </x:c>
      <x:c r="J503" s="9" t="str">
        <x:v>True</x:v>
      </x:c>
      <x:c r="K503" s="9" t="str">
        <x:v>laterale femorale condylen</x:v>
      </x:c>
      <x:c r="L503" t="str">
        <x:v>gemma4:e4b</x:v>
      </x:c>
    </x:row>
    <x:row r="504" ht="38" customHeight="1">
      <x:c r="A504" t="n">
        <x:v>2982</x:v>
      </x:c>
      <x:c r="B504" t="str">
        <x:v>1.2.826.0.1.3680043.8.498.62549354677638403845904556149868367236</x:v>
      </x:c>
      <x:c r="C504" t="str">
        <x:v>Dutch</x:v>
      </x:c>
      <x:c r="D504" t="str">
        <x:v>Effusion</x:v>
      </x:c>
      <x:c r="E504" s="21" t="n">
        <x:v>1</x:v>
      </x:c>
      <x:c r="F504" s="21"/>
      <x:c r="G504" s="21" t="str">
        <x:f>IF(COUNT(F504)=0,"판정없음",IF(E504=F504,"일치",E504&amp;"→"&amp;F504))</x:f>
        <x:v>판정없음</x:v>
      </x:c>
      <x:c r="H504" t="str">
        <x:v>uncertain_or_indirect</x:v>
      </x:c>
      <x:c r="I504" s="9" t="str">
        <x:v>vocht oppervlakkig en diep aan het mediale collaterale ligament</x:v>
      </x:c>
      <x:c r="J504" s="9" t="str">
        <x:v>True</x:v>
      </x:c>
      <x:c r="K504" s="9" t="str">
        <x:v>mediale collaterale ligament</x:v>
      </x:c>
      <x:c r="L504" t="str">
        <x:v>gemma4:e4b</x:v>
      </x:c>
    </x:row>
    <x:row r="505" ht="38" customHeight="1">
      <x:c r="A505" t="n">
        <x:v>2982</x:v>
      </x:c>
      <x:c r="B505" t="str">
        <x:v>1.2.826.0.1.3680043.8.498.62549354677638403845904556149868367236</x:v>
      </x:c>
      <x:c r="C505" t="str">
        <x:v>Dutch</x:v>
      </x:c>
      <x:c r="D505" t="str">
        <x:v>Fracture</x:v>
      </x:c>
      <x:c r="E505" s="21" t="n">
        <x:v>0</x:v>
      </x:c>
      <x:c r="F505" s="21" t="n">
        <x:v>1</x:v>
      </x:c>
      <x:c r="G505" s="21" t="str">
        <x:f>IF(COUNT(F505)=0,"판정없음",IF(E505=F505,"일치",E505&amp;"→"&amp;F505))</x:f>
        <x:v>0→1</x:v>
      </x:c>
      <x:c r="H505" t="str">
        <x:v>explicit_positive</x:v>
      </x:c>
      <x:c r="I505" s="9" t="str">
        <x:v>Impactiefractuur op centraal dragende deel van de laterale femorale condylen</x:v>
      </x:c>
      <x:c r="J505" s="9" t="str">
        <x:v>True</x:v>
      </x:c>
      <x:c r="K505" s="9" t="str">
        <x:v>laterale femorale condylen</x:v>
      </x:c>
      <x:c r="L505" t="str">
        <x:v>gemma4:e4b</x:v>
      </x:c>
    </x:row>
    <x:row r="506" ht="38" customHeight="1">
      <x:c r="A506" t="n">
        <x:v>2982</x:v>
      </x:c>
      <x:c r="B506" t="str">
        <x:v>1.2.826.0.1.3680043.8.498.62549354677638403845904556149868367236</x:v>
      </x:c>
      <x:c r="C506" t="str">
        <x:v>Dutch</x:v>
      </x:c>
      <x:c r="D506" t="str">
        <x:v>Lateral Meniscus</x:v>
      </x:c>
      <x:c r="E506" s="21" t="n">
        <x:v>1</x:v>
      </x:c>
      <x:c r="F506" s="21" t="n">
        <x:v>0</x:v>
      </x:c>
      <x:c r="G506" s="21" t="str">
        <x:f>IF(COUNT(F506)=0,"판정없음",IF(E506=F506,"일치",E506&amp;"→"&amp;F506))</x:f>
        <x:v>1→0</x:v>
      </x:c>
      <x:c r="H506" t="str">
        <x:v>explicit_negative</x:v>
      </x:c>
      <x:c r="I506" s="9" t="str">
        <x:v>Normaal voorkomen menisci</x:v>
      </x:c>
      <x:c r="J506" s="9" t="str">
        <x:v>True</x:v>
      </x:c>
      <x:c r="K506" s="9" t="str"/>
      <x:c r="L506" t="str">
        <x:v>gemma4:e4b</x:v>
      </x:c>
    </x:row>
    <x:row r="507" ht="38" customHeight="1">
      <x:c r="A507" t="n">
        <x:v>2982</x:v>
      </x:c>
      <x:c r="B507" t="str">
        <x:v>1.2.826.0.1.3680043.8.498.62549354677638403845904556149868367236</x:v>
      </x:c>
      <x:c r="C507" t="str">
        <x:v>Dutch</x:v>
      </x:c>
      <x:c r="D507" t="str">
        <x:v>Lateral OA</x:v>
      </x:c>
      <x:c r="E507" s="21" t="n">
        <x:v>0</x:v>
      </x:c>
      <x:c r="F507" s="21"/>
      <x:c r="G507" s="21" t="str">
        <x:f>IF(COUNT(F507)=0,"판정없음",IF(E507=F507,"일치",E507&amp;"→"&amp;F507))</x:f>
        <x:v>판정없음</x:v>
      </x:c>
      <x:c r="H507" t="str">
        <x:v>not_mentioned</x:v>
      </x:c>
      <x:c r="I507" s="9" t="str"/>
      <x:c r="J507" s="9" t="str">
        <x:v>True</x:v>
      </x:c>
      <x:c r="K507" s="9" t="str"/>
      <x:c r="L507" t="str">
        <x:v>gemma4:e4b</x:v>
      </x:c>
    </x:row>
    <x:row r="508" ht="38" customHeight="1">
      <x:c r="A508" t="n">
        <x:v>2982</x:v>
      </x:c>
      <x:c r="B508" t="str">
        <x:v>1.2.826.0.1.3680043.8.498.62549354677638403845904556149868367236</x:v>
      </x:c>
      <x:c r="C508" t="str">
        <x:v>Dutch</x:v>
      </x:c>
      <x:c r="D508" t="str">
        <x:v>MCL</x:v>
      </x:c>
      <x:c r="E508" s="21" t="n">
        <x:v>1</x:v>
      </x:c>
      <x:c r="F508" s="21" t="n">
        <x:v>1</x:v>
      </x:c>
      <x:c r="G508" s="21" t="str">
        <x:f>IF(COUNT(F508)=0,"판정없음",IF(E508=F508,"일치",E508&amp;"→"&amp;F508))</x:f>
        <x:v>일치</x:v>
      </x:c>
      <x:c r="H508" t="str">
        <x:v>explicit_positive</x:v>
      </x:c>
      <x:c r="I508" s="9" t="str">
        <x:v>Parti ële scheur proximaal op het mediale collaterale ligament</x:v>
      </x:c>
      <x:c r="J508" s="9" t="str">
        <x:v>True</x:v>
      </x:c>
      <x:c r="K508" s="9" t="str">
        <x:v>mediale collaterale ligament</x:v>
      </x:c>
      <x:c r="L508" t="str">
        <x:v>gemma4:e4b</x:v>
      </x:c>
    </x:row>
    <x:row r="509" ht="38" customHeight="1">
      <x:c r="A509" t="n">
        <x:v>2982</x:v>
      </x:c>
      <x:c r="B509" t="str">
        <x:v>1.2.826.0.1.3680043.8.498.62549354677638403845904556149868367236</x:v>
      </x:c>
      <x:c r="C509" t="str">
        <x:v>Dutch</x:v>
      </x:c>
      <x:c r="D509" t="str">
        <x:v>Medial Meniscus</x:v>
      </x:c>
      <x:c r="E509" s="21" t="n">
        <x:v>0</x:v>
      </x:c>
      <x:c r="F509" s="21" t="n">
        <x:v>0</x:v>
      </x:c>
      <x:c r="G509" s="21" t="str">
        <x:f>IF(COUNT(F509)=0,"판정없음",IF(E509=F509,"일치",E509&amp;"→"&amp;F509))</x:f>
        <x:v>일치</x:v>
      </x:c>
      <x:c r="H509" t="str">
        <x:v>explicit_negative</x:v>
      </x:c>
      <x:c r="I509" s="9" t="str">
        <x:v>Normaal voorkomen menisci</x:v>
      </x:c>
      <x:c r="J509" s="9" t="str">
        <x:v>True</x:v>
      </x:c>
      <x:c r="K509" s="9" t="str"/>
      <x:c r="L509" t="str">
        <x:v>gemma4:e4b</x:v>
      </x:c>
    </x:row>
    <x:row r="510" ht="38" customHeight="1">
      <x:c r="A510" t="n">
        <x:v>2982</x:v>
      </x:c>
      <x:c r="B510" t="str">
        <x:v>1.2.826.0.1.3680043.8.498.62549354677638403845904556149868367236</x:v>
      </x:c>
      <x:c r="C510" t="str">
        <x:v>Dutch</x:v>
      </x:c>
      <x:c r="D510" t="str">
        <x:v>Medial OA</x:v>
      </x:c>
      <x:c r="E510" s="21" t="n">
        <x:v>0</x:v>
      </x:c>
      <x:c r="F510" s="21"/>
      <x:c r="G510" s="21" t="str">
        <x:f>IF(COUNT(F510)=0,"판정없음",IF(E510=F510,"일치",E510&amp;"→"&amp;F510))</x:f>
        <x:v>판정없음</x:v>
      </x:c>
      <x:c r="H510" t="str">
        <x:v>not_mentioned</x:v>
      </x:c>
      <x:c r="I510" s="9" t="str"/>
      <x:c r="J510" s="9" t="str">
        <x:v>True</x:v>
      </x:c>
      <x:c r="K510" s="9" t="str"/>
      <x:c r="L510" t="str">
        <x:v>gemma4:e4b</x:v>
      </x:c>
    </x:row>
    <x:row r="511" ht="38" customHeight="1">
      <x:c r="A511" t="n">
        <x:v>2982</x:v>
      </x:c>
      <x:c r="B511" t="str">
        <x:v>1.2.826.0.1.3680043.8.498.62549354677638403845904556149868367236</x:v>
      </x:c>
      <x:c r="C511" t="str">
        <x:v>Dutch</x:v>
      </x:c>
      <x:c r="D511" t="str">
        <x:v>PF OA</x:v>
      </x:c>
      <x:c r="E511" s="21" t="n">
        <x:v>0</x:v>
      </x:c>
      <x:c r="F511" s="21"/>
      <x:c r="G511" s="21" t="str">
        <x:f>IF(COUNT(F511)=0,"판정없음",IF(E511=F511,"일치",E511&amp;"→"&amp;F511))</x:f>
        <x:v>판정없음</x:v>
      </x:c>
      <x:c r="H511" t="str">
        <x:v>not_mentioned</x:v>
      </x:c>
      <x:c r="I511" s="9" t="str"/>
      <x:c r="J511" s="9" t="str">
        <x:v>True</x:v>
      </x:c>
      <x:c r="K511" s="9" t="str"/>
      <x:c r="L511" t="str">
        <x:v>gemma4:e4b</x:v>
      </x:c>
    </x:row>
    <x:row r="512" ht="38" customHeight="1">
      <x:c r="A512" t="n">
        <x:v>2982</x:v>
      </x:c>
      <x:c r="B512" t="str">
        <x:v>1.2.826.0.1.3680043.8.498.62549354677638403845904556149868367236</x:v>
      </x:c>
      <x:c r="C512" t="str">
        <x:v>Dutch</x:v>
      </x:c>
      <x:c r="D512" t="str">
        <x:v>Synovitis</x:v>
      </x:c>
      <x:c r="E512" s="21" t="n">
        <x:v>1</x:v>
      </x:c>
      <x:c r="F512" s="21"/>
      <x:c r="G512" s="21" t="str">
        <x:f>IF(COUNT(F512)=0,"판정없음",IF(E512=F512,"일치",E512&amp;"→"&amp;F512))</x:f>
        <x:v>판정없음</x:v>
      </x:c>
      <x:c r="H512" t="str">
        <x:v>uncertain_or_indirect</x:v>
      </x:c>
      <x:c r="I512" s="9" t="str">
        <x:v>Licht verdikt voorkomen mediale collaterale ligament</x:v>
      </x:c>
      <x:c r="J512" s="9" t="str">
        <x:v>True</x:v>
      </x:c>
      <x:c r="K512" s="9" t="str">
        <x:v>mediale collaterale ligament</x:v>
      </x:c>
      <x:c r="L512" t="str">
        <x:v>gemma4:e4b</x:v>
      </x:c>
    </x:row>
    <x:row r="513" ht="38" customHeight="1">
      <x:c r="A513" t="n">
        <x:v>3051</x:v>
      </x:c>
      <x:c r="B513" t="str">
        <x:v>1.2.826.0.1.3680043.8.498.64408609256163127278435484217683272910</x:v>
      </x:c>
      <x:c r="C513" t="str">
        <x:v>Croatian</x:v>
      </x:c>
      <x:c r="D513" t="str">
        <x:v>ACL</x:v>
      </x:c>
      <x:c r="E513" s="21" t="n">
        <x:v>0</x:v>
      </x:c>
      <x:c r="F513" s="21"/>
      <x:c r="G513" s="21" t="str">
        <x:f>IF(COUNT(F513)=0,"판정없음",IF(E513=F513,"일치",E513&amp;"→"&amp;F513))</x:f>
        <x:v>판정없음</x:v>
      </x:c>
      <x:c r="H513" t="str">
        <x:v>uncertain_or_indirect</x:v>
      </x:c>
      <x:c r="I513" s="9" t="str">
        <x:v>Prednji križni ligament održanog kontinuiteta, umjereno do teško degenerativno promijenjen.</x:v>
      </x:c>
      <x:c r="J513" s="9" t="str">
        <x:v>True</x:v>
      </x:c>
      <x:c r="K513" s="9" t="str"/>
      <x:c r="L513" t="str">
        <x:v>gemma4:e4b</x:v>
      </x:c>
    </x:row>
    <x:row r="514" ht="38" customHeight="1">
      <x:c r="A514" t="n">
        <x:v>3051</x:v>
      </x:c>
      <x:c r="B514" t="str">
        <x:v>1.2.826.0.1.3680043.8.498.64408609256163127278435484217683272910</x:v>
      </x:c>
      <x:c r="C514" t="str">
        <x:v>Croatian</x:v>
      </x:c>
      <x:c r="D514" t="str">
        <x:v>Baker's</x:v>
      </x:c>
      <x:c r="E514" s="21" t="n">
        <x:v>1</x:v>
      </x:c>
      <x:c r="F514" s="21" t="n">
        <x:v>1</x:v>
      </x:c>
      <x:c r="G514" s="21" t="str">
        <x:f>IF(COUNT(F514)=0,"판정없음",IF(E514=F514,"일치",E514&amp;"→"&amp;F514))</x:f>
        <x:v>일치</x:v>
      </x:c>
      <x:c r="H514" t="str">
        <x:v>explicit_positive</x:v>
      </x:c>
      <x:c r="I514" s="9" t="str">
        <x:v>Baker cista veličine 22x31x37 mm (apxllxcc).</x:v>
      </x:c>
      <x:c r="J514" s="9" t="str">
        <x:v>True</x:v>
      </x:c>
      <x:c r="K514" s="9" t="str"/>
      <x:c r="L514" t="str">
        <x:v>gemma4:e4b</x:v>
      </x:c>
    </x:row>
    <x:row r="515" ht="38" customHeight="1">
      <x:c r="A515" t="n">
        <x:v>3051</x:v>
      </x:c>
      <x:c r="B515" t="str">
        <x:v>1.2.826.0.1.3680043.8.498.64408609256163127278435484217683272910</x:v>
      </x:c>
      <x:c r="C515" t="str">
        <x:v>Croatian</x:v>
      </x:c>
      <x:c r="D515" t="str">
        <x:v>Contusion</x:v>
      </x:c>
      <x:c r="E515" s="21" t="n">
        <x:v>0</x:v>
      </x:c>
      <x:c r="F515" s="21" t="n">
        <x:v>1</x:v>
      </x:c>
      <x:c r="G515" s="21" t="str">
        <x:f>IF(COUNT(F515)=0,"판정없음",IF(E515=F515,"일치",E515&amp;"→"&amp;F515))</x:f>
        <x:v>0→1</x:v>
      </x:c>
      <x:c r="H515" t="str">
        <x:v>explicit_positive</x:v>
      </x:c>
      <x:c r="I515" s="9" t="str">
        <x:v>Koštani edem medijalnog kondila femura, anterionog dijela medijalnog kondila tibije te lateralnog tubera interkondilarne eminencije tibije.</x:v>
      </x:c>
      <x:c r="J515" s="9" t="str">
        <x:v>True</x:v>
      </x:c>
      <x:c r="K515" s="9" t="str"/>
      <x:c r="L515" t="str">
        <x:v>gemma4:e4b</x:v>
      </x:c>
    </x:row>
    <x:row r="516" ht="38" customHeight="1">
      <x:c r="A516" t="n">
        <x:v>3051</x:v>
      </x:c>
      <x:c r="B516" t="str">
        <x:v>1.2.826.0.1.3680043.8.498.64408609256163127278435484217683272910</x:v>
      </x:c>
      <x:c r="C516" t="str">
        <x:v>Croatian</x:v>
      </x:c>
      <x:c r="D516" t="str">
        <x:v>Effusion</x:v>
      </x:c>
      <x:c r="E516" s="21" t="n">
        <x:v>1</x:v>
      </x:c>
      <x:c r="F516" s="21" t="n">
        <x:v>1</x:v>
      </x:c>
      <x:c r="G516" s="21" t="str">
        <x:f>IF(COUNT(F516)=0,"판정없음",IF(E516=F516,"일치",E516&amp;"→"&amp;F516))</x:f>
        <x:v>일치</x:v>
      </x:c>
      <x:c r="H516" t="str">
        <x:v>explicit_positive</x:v>
      </x:c>
      <x:c r="I516" s="9" t="str">
        <x:v>Manja količina izljeva u zglob.</x:v>
      </x:c>
      <x:c r="J516" s="9" t="str">
        <x:v>True</x:v>
      </x:c>
      <x:c r="K516" s="9" t="str"/>
      <x:c r="L516" t="str">
        <x:v>gemma4:e4b</x:v>
      </x:c>
    </x:row>
    <x:row r="517" ht="38" customHeight="1">
      <x:c r="A517" t="n">
        <x:v>3051</x:v>
      </x:c>
      <x:c r="B517" t="str">
        <x:v>1.2.826.0.1.3680043.8.498.64408609256163127278435484217683272910</x:v>
      </x:c>
      <x:c r="C517" t="str">
        <x:v>Croatian</x:v>
      </x:c>
      <x:c r="D517" t="str">
        <x:v>Fracture</x:v>
      </x:c>
      <x:c r="E517" s="21" t="n">
        <x:v>0</x:v>
      </x:c>
      <x:c r="F517" s="21"/>
      <x:c r="G517" s="21" t="str">
        <x:f>IF(COUNT(F517)=0,"판정없음",IF(E517=F517,"일치",E517&amp;"→"&amp;F517))</x:f>
        <x:v>판정없음</x:v>
      </x:c>
      <x:c r="H517" t="str">
        <x:v>not_mentioned</x:v>
      </x:c>
      <x:c r="I517" s="9" t="str"/>
      <x:c r="J517" s="9" t="str">
        <x:v>True</x:v>
      </x:c>
      <x:c r="K517" s="9" t="str"/>
      <x:c r="L517" t="str">
        <x:v>gemma4:e4b</x:v>
      </x:c>
    </x:row>
    <x:row r="518" ht="38" customHeight="1">
      <x:c r="A518" t="n">
        <x:v>3051</x:v>
      </x:c>
      <x:c r="B518" t="str">
        <x:v>1.2.826.0.1.3680043.8.498.64408609256163127278435484217683272910</x:v>
      </x:c>
      <x:c r="C518" t="str">
        <x:v>Croatian</x:v>
      </x:c>
      <x:c r="D518" t="str">
        <x:v>Lateral Meniscus</x:v>
      </x:c>
      <x:c r="E518" s="21" t="n">
        <x:v>0</x:v>
      </x:c>
      <x:c r="F518" s="21" t="n">
        <x:v>0</x:v>
      </x:c>
      <x:c r="G518" s="21" t="str">
        <x:f>IF(COUNT(F518)=0,"판정없음",IF(E518=F518,"일치",E518&amp;"→"&amp;F518))</x:f>
        <x:v>일치</x:v>
      </x:c>
      <x:c r="H518" t="str">
        <x:v>explicit_negative</x:v>
      </x:c>
      <x:c r="I518" s="9" t="str">
        <x:v>Lateralni menisk bez znakova rupture blaže degenerativno promijenjen u prednjem rogu i prednjem korijenu.</x:v>
      </x:c>
      <x:c r="J518" s="9" t="str">
        <x:v>True</x:v>
      </x:c>
      <x:c r="K518" s="9" t="str"/>
      <x:c r="L518" t="str">
        <x:v>gemma4:e4b</x:v>
      </x:c>
    </x:row>
    <x:row r="519" ht="38" customHeight="1">
      <x:c r="A519" t="n">
        <x:v>3051</x:v>
      </x:c>
      <x:c r="B519" t="str">
        <x:v>1.2.826.0.1.3680043.8.498.64408609256163127278435484217683272910</x:v>
      </x:c>
      <x:c r="C519" t="str">
        <x:v>Croatian</x:v>
      </x:c>
      <x:c r="D519" t="str">
        <x:v>Lateral OA</x:v>
      </x:c>
      <x:c r="E519" s="21" t="n">
        <x:v>0</x:v>
      </x:c>
      <x:c r="F519" s="21"/>
      <x:c r="G519" s="21" t="str">
        <x:f>IF(COUNT(F519)=0,"판정없음",IF(E519=F519,"일치",E519&amp;"→"&amp;F519))</x:f>
        <x:v>판정없음</x:v>
      </x:c>
      <x:c r="H519" t="str">
        <x:v>uncertain_or_indirect</x:v>
      </x:c>
      <x:c r="I519" s="9" t="str">
        <x:v>hondromalacija II° hrskavice lateralnog tibijalnog platoa</x:v>
      </x:c>
      <x:c r="J519" s="9" t="str">
        <x:v>True</x:v>
      </x:c>
      <x:c r="K519" s="9" t="str"/>
      <x:c r="L519" t="str">
        <x:v>gemma4:e4b</x:v>
      </x:c>
    </x:row>
    <x:row r="520" ht="38" customHeight="1">
      <x:c r="A520" t="n">
        <x:v>3051</x:v>
      </x:c>
      <x:c r="B520" t="str">
        <x:v>1.2.826.0.1.3680043.8.498.64408609256163127278435484217683272910</x:v>
      </x:c>
      <x:c r="C520" t="str">
        <x:v>Croatian</x:v>
      </x:c>
      <x:c r="D520" t="str">
        <x:v>MCL</x:v>
      </x:c>
      <x:c r="E520" s="21" t="n">
        <x:v>0</x:v>
      </x:c>
      <x:c r="F520" s="21" t="n">
        <x:v>0</x:v>
      </x:c>
      <x:c r="G520" s="21" t="str">
        <x:f>IF(COUNT(F520)=0,"판정없음",IF(E520=F520,"일치",E520&amp;"→"&amp;F520))</x:f>
        <x:v>일치</x:v>
      </x:c>
      <x:c r="H520" t="str">
        <x:v>explicit_negative</x:v>
      </x:c>
      <x:c r="I520" s="9" t="str">
        <x:v>Lateralni i medijalni kolateralni ligamenti su primjerenih intenziteta signala, održanog kontinuiteta.</x:v>
      </x:c>
      <x:c r="J520" s="9" t="str">
        <x:v>True</x:v>
      </x:c>
      <x:c r="K520" s="9" t="str"/>
      <x:c r="L520" t="str">
        <x:v>gemma4:e4b</x:v>
      </x:c>
    </x:row>
    <x:row r="521" ht="38" customHeight="1">
      <x:c r="A521" t="n">
        <x:v>3051</x:v>
      </x:c>
      <x:c r="B521" t="str">
        <x:v>1.2.826.0.1.3680043.8.498.64408609256163127278435484217683272910</x:v>
      </x:c>
      <x:c r="C521" t="str">
        <x:v>Croatian</x:v>
      </x:c>
      <x:c r="D521" t="str">
        <x:v>Medial Meniscus</x:v>
      </x:c>
      <x:c r="E521" s="21" t="n">
        <x:v>1</x:v>
      </x:c>
      <x:c r="F521" s="21" t="n">
        <x:v>1</x:v>
      </x:c>
      <x:c r="G521" s="21" t="str">
        <x:f>IF(COUNT(F521)=0,"판정없음",IF(E521=F521,"일치",E521&amp;"→"&amp;F521))</x:f>
        <x:v>일치</x:v>
      </x:c>
      <x:c r="H521" t="str">
        <x:v>explicit_positive</x:v>
      </x:c>
      <x:c r="I521" s="9" t="str">
        <x:v>Degenerativno promijenjenmedijalni menisk, osobito u području trupa i stražnjeg roga gdje se prati kompleksna ruptura s radijalnom i horizontalnom komponentom koja se pruža prema femoralnoj plohi.</x:v>
      </x:c>
      <x:c r="J521" s="9" t="str">
        <x:v>True</x:v>
      </x:c>
      <x:c r="K521" s="9" t="str"/>
      <x:c r="L521" t="str">
        <x:v>gemma4:e4b</x:v>
      </x:c>
    </x:row>
    <x:row r="522" ht="38" customHeight="1">
      <x:c r="A522" t="n">
        <x:v>3051</x:v>
      </x:c>
      <x:c r="B522" t="str">
        <x:v>1.2.826.0.1.3680043.8.498.64408609256163127278435484217683272910</x:v>
      </x:c>
      <x:c r="C522" t="str">
        <x:v>Croatian</x:v>
      </x:c>
      <x:c r="D522" t="str">
        <x:v>Medial OA</x:v>
      </x:c>
      <x:c r="E522" s="21" t="n">
        <x:v>1</x:v>
      </x:c>
      <x:c r="F522" s="21" t="n">
        <x:v>1</x:v>
      </x:c>
      <x:c r="G522" s="21" t="str">
        <x:f>IF(COUNT(F522)=0,"판정없음",IF(E522=F522,"일치",E522&amp;"→"&amp;F522))</x:f>
        <x:v>일치</x:v>
      </x:c>
      <x:c r="H522" t="str">
        <x:v>explicit_positive</x:v>
      </x:c>
      <x:c r="I522" s="9" t="str">
        <x:v>Obzirom erozivne promjene zglobne hrskavice medijalnog kompartmenta femorotibijalnog zgloba opisano vjerojatno u sklopu OA promjena.</x:v>
      </x:c>
      <x:c r="J522" s="9" t="str">
        <x:v>True</x:v>
      </x:c>
      <x:c r="K522" s="9" t="str"/>
      <x:c r="L522" t="str">
        <x:v>gemma4:e4b</x:v>
      </x:c>
    </x:row>
    <x:row r="523" ht="38" customHeight="1">
      <x:c r="A523" t="n">
        <x:v>3051</x:v>
      </x:c>
      <x:c r="B523" t="str">
        <x:v>1.2.826.0.1.3680043.8.498.64408609256163127278435484217683272910</x:v>
      </x:c>
      <x:c r="C523" t="str">
        <x:v>Croatian</x:v>
      </x:c>
      <x:c r="D523" t="str">
        <x:v>PF OA</x:v>
      </x:c>
      <x:c r="E523" s="21" t="n">
        <x:v>0</x:v>
      </x:c>
      <x:c r="F523" s="21"/>
      <x:c r="G523" s="21" t="str">
        <x:f>IF(COUNT(F523)=0,"판정없음",IF(E523=F523,"일치",E523&amp;"→"&amp;F523))</x:f>
        <x:v>판정없음</x:v>
      </x:c>
      <x:c r="H523" t="str">
        <x:v>uncertain_or_indirect</x:v>
      </x:c>
      <x:c r="I523" s="9" t="str">
        <x:v>hondromalacija I° lateralne fasete patele</x:v>
      </x:c>
      <x:c r="J523" s="9" t="str">
        <x:v>True</x:v>
      </x:c>
      <x:c r="K523" s="9" t="str"/>
      <x:c r="L523" t="str">
        <x:v>gemma4:e4b</x:v>
      </x:c>
    </x:row>
    <x:row r="524" ht="38" customHeight="1">
      <x:c r="A524" t="n">
        <x:v>3051</x:v>
      </x:c>
      <x:c r="B524" t="str">
        <x:v>1.2.826.0.1.3680043.8.498.64408609256163127278435484217683272910</x:v>
      </x:c>
      <x:c r="C524" t="str">
        <x:v>Croatian</x:v>
      </x:c>
      <x:c r="D524" t="str">
        <x:v>Synovitis</x:v>
      </x:c>
      <x:c r="E524" s="21" t="n">
        <x:v>1</x:v>
      </x:c>
      <x:c r="F524" s="21" t="n">
        <x:v>1</x:v>
      </x:c>
      <x:c r="G524" s="21" t="str">
        <x:f>IF(COUNT(F524)=0,"판정없음",IF(E524=F524,"일치",E524&amp;"→"&amp;F524))</x:f>
        <x:v>일치</x:v>
      </x:c>
      <x:c r="H524" t="str">
        <x:v>explicit_positive</x:v>
      </x:c>
      <x:c r="I524" s="9" t="str">
        <x:v>Burzitis tetive popliteusa.</x:v>
      </x:c>
      <x:c r="J524" s="9" t="str">
        <x:v>True</x:v>
      </x:c>
      <x:c r="K524" s="9" t="str"/>
      <x:c r="L524" t="str">
        <x:v>gemma4:e4b</x:v>
      </x:c>
    </x:row>
    <x:row r="525" ht="38" customHeight="1">
      <x:c r="A525" t="n">
        <x:v>3064</x:v>
      </x:c>
      <x:c r="B525" t="str">
        <x:v>1.2.826.0.1.3680043.8.498.64703506772167798469048460791472465039</x:v>
      </x:c>
      <x:c r="C525" t="str">
        <x:v>English</x:v>
      </x:c>
      <x:c r="D525" t="str">
        <x:v>ACL</x:v>
      </x:c>
      <x:c r="E525" s="21" t="n">
        <x:v>0</x:v>
      </x:c>
      <x:c r="F525" s="21"/>
      <x:c r="G525" s="21" t="str">
        <x:f>IF(COUNT(F525)=0,"판정없음",IF(E525=F525,"일치",E525&amp;"→"&amp;F525))</x:f>
        <x:v>판정없음</x:v>
      </x:c>
      <x:c r="H525" t="str">
        <x:v>uncertain_or_indirect</x:v>
      </x:c>
      <x:c r="I525" s="9" t="str">
        <x:v>low-grade partial ligamentous tear</x:v>
      </x:c>
      <x:c r="J525" s="9" t="str">
        <x:v>True</x:v>
      </x:c>
      <x:c r="K525" s="9" t="str">
        <x:v>distal bony avulsion</x:v>
      </x:c>
      <x:c r="L525" t="str">
        <x:v>gemma4:e4b</x:v>
      </x:c>
    </x:row>
    <x:row r="526" ht="38" customHeight="1">
      <x:c r="A526" t="n">
        <x:v>3064</x:v>
      </x:c>
      <x:c r="B526" t="str">
        <x:v>1.2.826.0.1.3680043.8.498.64703506772167798469048460791472465039</x:v>
      </x:c>
      <x:c r="C526" t="str">
        <x:v>English</x:v>
      </x:c>
      <x:c r="D526" t="str">
        <x:v>Baker's</x:v>
      </x:c>
      <x:c r="E526" s="21" t="n">
        <x:v>0</x:v>
      </x:c>
      <x:c r="F526" s="21" t="n">
        <x:v>0</x:v>
      </x:c>
      <x:c r="G526" s="21" t="str">
        <x:f>IF(COUNT(F526)=0,"판정없음",IF(E526=F526,"일치",E526&amp;"→"&amp;F526))</x:f>
        <x:v>일치</x:v>
      </x:c>
      <x:c r="H526" t="str">
        <x:v>explicit_negative</x:v>
      </x:c>
      <x:c r="I526" s="9" t="str">
        <x:v>None</x:v>
      </x:c>
      <x:c r="J526" s="9" t="str">
        <x:v>True</x:v>
      </x:c>
      <x:c r="K526" s="9" t="str"/>
      <x:c r="L526" t="str">
        <x:v>gemma4:e4b</x:v>
      </x:c>
    </x:row>
    <x:row r="527" ht="38" customHeight="1">
      <x:c r="A527" t="n">
        <x:v>3064</x:v>
      </x:c>
      <x:c r="B527" t="str">
        <x:v>1.2.826.0.1.3680043.8.498.64703506772167798469048460791472465039</x:v>
      </x:c>
      <x:c r="C527" t="str">
        <x:v>English</x:v>
      </x:c>
      <x:c r="D527" t="str">
        <x:v>Contusion</x:v>
      </x:c>
      <x:c r="E527" s="21" t="n">
        <x:v>1</x:v>
      </x:c>
      <x:c r="F527" s="21" t="n">
        <x:v>1</x:v>
      </x:c>
      <x:c r="G527" s="21" t="str">
        <x:f>IF(COUNT(F527)=0,"판정없음",IF(E527=F527,"일치",E527&amp;"→"&amp;F527))</x:f>
        <x:v>일치</x:v>
      </x:c>
      <x:c r="H527" t="str">
        <x:v>explicit_positive</x:v>
      </x:c>
      <x:c r="I527" s="9" t="str">
        <x:v>associated bone marrow edema associated with these fractures</x:v>
      </x:c>
      <x:c r="J527" s="9" t="str">
        <x:v>True</x:v>
      </x:c>
      <x:c r="K527" s="9" t="str">
        <x:v>bone marrow edema</x:v>
      </x:c>
      <x:c r="L527" t="str">
        <x:v>gemma4:e4b</x:v>
      </x:c>
    </x:row>
    <x:row r="528" ht="38" customHeight="1">
      <x:c r="A528" t="n">
        <x:v>3064</x:v>
      </x:c>
      <x:c r="B528" t="str">
        <x:v>1.2.826.0.1.3680043.8.498.64703506772167798469048460791472465039</x:v>
      </x:c>
      <x:c r="C528" t="str">
        <x:v>English</x:v>
      </x:c>
      <x:c r="D528" t="str">
        <x:v>Effusion</x:v>
      </x:c>
      <x:c r="E528" s="21" t="n">
        <x:v>1</x:v>
      </x:c>
      <x:c r="F528" s="21" t="n">
        <x:v>1</x:v>
      </x:c>
      <x:c r="G528" s="21" t="str">
        <x:f>IF(COUNT(F528)=0,"판정없음",IF(E528=F528,"일치",E528&amp;"→"&amp;F528))</x:f>
        <x:v>일치</x:v>
      </x:c>
      <x:c r="H528" t="str">
        <x:v>explicit_positive</x:v>
      </x:c>
      <x:c r="I528" s="9" t="str">
        <x:v>Large joint effusion</x:v>
      </x:c>
      <x:c r="J528" s="9" t="str">
        <x:v>True</x:v>
      </x:c>
      <x:c r="K528" s="9" t="str"/>
      <x:c r="L528" t="str">
        <x:v>gemma4:e4b</x:v>
      </x:c>
    </x:row>
    <x:row r="529" ht="38" customHeight="1">
      <x:c r="A529" t="n">
        <x:v>3064</x:v>
      </x:c>
      <x:c r="B529" t="str">
        <x:v>1.2.826.0.1.3680043.8.498.64703506772167798469048460791472465039</x:v>
      </x:c>
      <x:c r="C529" t="str">
        <x:v>English</x:v>
      </x:c>
      <x:c r="D529" t="str">
        <x:v>Fracture</x:v>
      </x:c>
      <x:c r="E529" s="21" t="n">
        <x:v>1</x:v>
      </x:c>
      <x:c r="F529" s="21" t="n">
        <x:v>1</x:v>
      </x:c>
      <x:c r="G529" s="21" t="str">
        <x:f>IF(COUNT(F529)=0,"판정없음",IF(E529=F529,"일치",E529&amp;"→"&amp;F529))</x:f>
        <x:v>일치</x:v>
      </x:c>
      <x:c r="H529" t="str">
        <x:v>explicit_positive</x:v>
      </x:c>
      <x:c r="I529" s="9" t="str">
        <x:v>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 The fracture involves the central portion of the medial tibial plateau articular surface anteriorly and posteriorly with articular surface collapse of 3 mm anteriorly and 5 mm posteriorly, as well as a step deformity of up to 2 mm posteriorly. Small mildly displaced avulsion fracture of the lateral corner of lateral tibial plateau [Segond fracture].</x:v>
      </x:c>
      <x:c r="J529" s="9" t="str">
        <x:v>True</x:v>
      </x:c>
      <x:c r="K529" s="9" t="str">
        <x:v>associated bone marrow edema</x:v>
      </x:c>
      <x:c r="L529" t="str">
        <x:v>gemma4:e4b</x:v>
      </x:c>
    </x:row>
    <x:row r="530" ht="38" customHeight="1">
      <x:c r="A530" t="n">
        <x:v>3064</x:v>
      </x:c>
      <x:c r="B530" t="str">
        <x:v>1.2.826.0.1.3680043.8.498.64703506772167798469048460791472465039</x:v>
      </x:c>
      <x:c r="C530" t="str">
        <x:v>English</x:v>
      </x:c>
      <x:c r="D530" t="str">
        <x:v>Lateral Meniscus</x:v>
      </x:c>
      <x:c r="E530" s="21" t="n">
        <x:v>1</x:v>
      </x:c>
      <x:c r="F530" s="21" t="n">
        <x:v>1</x:v>
      </x:c>
      <x:c r="G530" s="21" t="str">
        <x:f>IF(COUNT(F530)=0,"판정없음",IF(E530=F530,"일치",E530&amp;"→"&amp;F530))</x:f>
        <x:v>일치</x:v>
      </x:c>
      <x:c r="H530" t="str">
        <x:v>explicit_positive</x:v>
      </x:c>
      <x:c r="I530" s="9" t="str">
        <x:v>Evidence of small Wrisberg rip-type longitudinal tear of the periphery of the posterior horn</x:v>
      </x:c>
      <x:c r="J530" s="9" t="str">
        <x:v>True</x:v>
      </x:c>
      <x:c r="K530" s="9" t="str">
        <x:v>Complete tear of the inferior meniscal popliteal fascicle compatible with posterior lateral corner injury</x:v>
      </x:c>
      <x:c r="L530" t="str">
        <x:v>gemma4:e4b</x:v>
      </x:c>
    </x:row>
    <x:row r="531" ht="38" customHeight="1">
      <x:c r="A531" t="n">
        <x:v>3064</x:v>
      </x:c>
      <x:c r="B531" t="str">
        <x:v>1.2.826.0.1.3680043.8.498.64703506772167798469048460791472465039</x:v>
      </x:c>
      <x:c r="C531" t="str">
        <x:v>English</x:v>
      </x:c>
      <x:c r="D531" t="str">
        <x:v>Lateral OA</x:v>
      </x:c>
      <x:c r="E531" s="21" t="n">
        <x:v>0</x:v>
      </x:c>
      <x:c r="F531" s="21"/>
      <x:c r="G531" s="21" t="str">
        <x:f>IF(COUNT(F531)=0,"판정없음",IF(E531=F531,"일치",E531&amp;"→"&amp;F531))</x:f>
        <x:v>판정없음</x:v>
      </x:c>
      <x:c r="H531" t="str">
        <x:v>not_mentioned</x:v>
      </x:c>
      <x:c r="I531" s="9" t="str"/>
      <x:c r="J531" s="9" t="str">
        <x:v>True</x:v>
      </x:c>
      <x:c r="K531" s="9" t="str"/>
      <x:c r="L531" t="str">
        <x:v>gemma4:e4b</x:v>
      </x:c>
    </x:row>
    <x:row r="532" ht="38" customHeight="1">
      <x:c r="A532" t="n">
        <x:v>3064</x:v>
      </x:c>
      <x:c r="B532" t="str">
        <x:v>1.2.826.0.1.3680043.8.498.64703506772167798469048460791472465039</x:v>
      </x:c>
      <x:c r="C532" t="str">
        <x:v>English</x:v>
      </x:c>
      <x:c r="D532" t="str">
        <x:v>MCL</x:v>
      </x:c>
      <x:c r="E532" s="21" t="n">
        <x:v>1</x:v>
      </x:c>
      <x:c r="F532" s="21" t="n">
        <x:v>1</x:v>
      </x:c>
      <x:c r="G532" s="21" t="str">
        <x:f>IF(COUNT(F532)=0,"판정없음",IF(E532=F532,"일치",E532&amp;"→"&amp;F532))</x:f>
        <x:v>일치</x:v>
      </x:c>
      <x:c r="H532" t="str">
        <x:v>explicit_positive</x:v>
      </x:c>
      <x:c r="I532" s="9" t="str">
        <x:v>Complete tear of the superficial portion at the mid to distal third</x:v>
      </x:c>
      <x:c r="J532" s="9" t="str">
        <x:v>True</x:v>
      </x:c>
      <x:c r="K532" s="9" t="str">
        <x:v>Moderate grade partial tear of the deep meniscal femoral and meniscal tibial components with partial meniscocapsular separation of the medial meniscal body</x:v>
      </x:c>
      <x:c r="L532" t="str">
        <x:v>gemma4:e4b</x:v>
      </x:c>
    </x:row>
    <x:row r="533" ht="38" customHeight="1">
      <x:c r="A533" t="n">
        <x:v>3064</x:v>
      </x:c>
      <x:c r="B533" t="str">
        <x:v>1.2.826.0.1.3680043.8.498.64703506772167798469048460791472465039</x:v>
      </x:c>
      <x:c r="C533" t="str">
        <x:v>English</x:v>
      </x:c>
      <x:c r="D533" t="str">
        <x:v>Medial Meniscus</x:v>
      </x:c>
      <x:c r="E533" s="21" t="n">
        <x:v>1</x:v>
      </x:c>
      <x:c r="F533" s="21" t="n">
        <x:v>1</x:v>
      </x:c>
      <x:c r="G533" s="21" t="str">
        <x:f>IF(COUNT(F533)=0,"판정없음",IF(E533=F533,"일치",E533&amp;"→"&amp;F533))</x:f>
        <x:v>일치</x:v>
      </x:c>
      <x:c r="H533" t="str">
        <x:v>explicit_positive</x:v>
      </x:c>
      <x:c r="I533" s="9" t="str">
        <x:v>small horizontal oblique tear extending to the femoral surface</x:v>
      </x:c>
      <x:c r="J533" s="9" t="str">
        <x:v>True</x:v>
      </x:c>
      <x:c r="K533" s="9" t="str">
        <x:v>Bony avulsion of the posterior horn root insertion as detailed above</x:v>
      </x:c>
      <x:c r="L533" t="str">
        <x:v>gemma4:e4b</x:v>
      </x:c>
    </x:row>
    <x:row r="534" ht="38" customHeight="1">
      <x:c r="A534" t="n">
        <x:v>3064</x:v>
      </x:c>
      <x:c r="B534" t="str">
        <x:v>1.2.826.0.1.3680043.8.498.64703506772167798469048460791472465039</x:v>
      </x:c>
      <x:c r="C534" t="str">
        <x:v>English</x:v>
      </x:c>
      <x:c r="D534" t="str">
        <x:v>Medial OA</x:v>
      </x:c>
      <x:c r="E534" s="21" t="n">
        <x:v>0</x:v>
      </x:c>
      <x:c r="F534" s="21"/>
      <x:c r="G534" s="21" t="str">
        <x:f>IF(COUNT(F534)=0,"판정없음",IF(E534=F534,"일치",E534&amp;"→"&amp;F534))</x:f>
        <x:v>판정없음</x:v>
      </x:c>
      <x:c r="H534" t="str">
        <x:v>not_mentioned</x:v>
      </x:c>
      <x:c r="I534" s="9" t="str"/>
      <x:c r="J534" s="9" t="str">
        <x:v>True</x:v>
      </x:c>
      <x:c r="K534" s="9" t="str"/>
      <x:c r="L534" t="str">
        <x:v>gemma4:e4b</x:v>
      </x:c>
    </x:row>
    <x:row r="535" ht="38" customHeight="1">
      <x:c r="A535" t="n">
        <x:v>3064</x:v>
      </x:c>
      <x:c r="B535" t="str">
        <x:v>1.2.826.0.1.3680043.8.498.64703506772167798469048460791472465039</x:v>
      </x:c>
      <x:c r="C535" t="str">
        <x:v>English</x:v>
      </x:c>
      <x:c r="D535" t="str">
        <x:v>PF OA</x:v>
      </x:c>
      <x:c r="E535" s="21" t="n">
        <x:v>0</x:v>
      </x:c>
      <x:c r="F535" s="21"/>
      <x:c r="G535" s="21" t="str">
        <x:f>IF(COUNT(F535)=0,"판정없음",IF(E535=F535,"일치",E535&amp;"→"&amp;F535))</x:f>
        <x:v>판정없음</x:v>
      </x:c>
      <x:c r="H535" t="str">
        <x:v>not_mentioned</x:v>
      </x:c>
      <x:c r="I535" s="9" t="str"/>
      <x:c r="J535" s="9" t="str">
        <x:v>True</x:v>
      </x:c>
      <x:c r="K535" s="9" t="str"/>
      <x:c r="L535" t="str">
        <x:v>gemma4:e4b</x:v>
      </x:c>
    </x:row>
    <x:row r="536" ht="38" customHeight="1">
      <x:c r="A536" t="n">
        <x:v>3064</x:v>
      </x:c>
      <x:c r="B536" t="str">
        <x:v>1.2.826.0.1.3680043.8.498.64703506772167798469048460791472465039</x:v>
      </x:c>
      <x:c r="C536" t="str">
        <x:v>English</x:v>
      </x:c>
      <x:c r="D536" t="str">
        <x:v>Synovitis</x:v>
      </x:c>
      <x:c r="E536" s="21" t="n">
        <x:v>0</x:v>
      </x:c>
      <x:c r="F536" s="21"/>
      <x:c r="G536" s="21" t="str">
        <x:f>IF(COUNT(F536)=0,"판정없음",IF(E536=F536,"일치",E536&amp;"→"&amp;F536))</x:f>
        <x:v>판정없음</x:v>
      </x:c>
      <x:c r="H536" t="str">
        <x:v>not_mentioned</x:v>
      </x:c>
      <x:c r="I536" s="9" t="str"/>
      <x:c r="J536" s="9" t="str">
        <x:v>True</x:v>
      </x:c>
      <x:c r="K536" s="9" t="str"/>
      <x:c r="L536" t="str">
        <x:v>gemma4:e4b</x:v>
      </x:c>
    </x:row>
    <x:row r="537" ht="38" customHeight="1">
      <x:c r="A537" t="n">
        <x:v>3095</x:v>
      </x:c>
      <x:c r="B537" t="str">
        <x:v>1.2.826.0.1.3680043.8.498.65708905118633339771181857781063784327</x:v>
      </x:c>
      <x:c r="C537" t="str">
        <x:v>English</x:v>
      </x:c>
      <x:c r="D537" t="str">
        <x:v>ACL</x:v>
      </x:c>
      <x:c r="E537" s="21" t="n">
        <x:v>0</x:v>
      </x:c>
      <x:c r="F537" s="21" t="n">
        <x:v>0</x:v>
      </x:c>
      <x:c r="G537" s="21" t="str">
        <x:f>IF(COUNT(F537)=0,"판정없음",IF(E537=F537,"일치",E537&amp;"→"&amp;F537))</x:f>
        <x:v>일치</x:v>
      </x:c>
      <x:c r="H537" t="str">
        <x:v>explicit_negative</x:v>
      </x:c>
      <x:c r="I537" s="9" t="str">
        <x:v>anterior cruciate ligament is intact</x:v>
      </x:c>
      <x:c r="J537" s="9" t="str">
        <x:v>True</x:v>
      </x:c>
      <x:c r="K537" s="9" t="str"/>
      <x:c r="L537" t="str">
        <x:v>gemma4:e4b</x:v>
      </x:c>
    </x:row>
    <x:row r="538" ht="38" customHeight="1">
      <x:c r="A538" t="n">
        <x:v>3095</x:v>
      </x:c>
      <x:c r="B538" t="str">
        <x:v>1.2.826.0.1.3680043.8.498.65708905118633339771181857781063784327</x:v>
      </x:c>
      <x:c r="C538" t="str">
        <x:v>English</x:v>
      </x:c>
      <x:c r="D538" t="str">
        <x:v>Baker's</x:v>
      </x:c>
      <x:c r="E538" s="21" t="n">
        <x:v>1</x:v>
      </x:c>
      <x:c r="F538" s="21" t="n">
        <x:v>1</x:v>
      </x:c>
      <x:c r="G538" s="21" t="str">
        <x:f>IF(COUNT(F538)=0,"판정없음",IF(E538=F538,"일치",E538&amp;"→"&amp;F538))</x:f>
        <x:v>일치</x:v>
      </x:c>
      <x:c r="H538" t="str">
        <x:v>explicit_positive</x:v>
      </x:c>
      <x:c r="I538" s="9" t="str">
        <x:v>A 1.5*1.5* 4.5 cm baker's cyst at the posteromedial aspect of left knee</x:v>
      </x:c>
      <x:c r="J538" s="9" t="str">
        <x:v>True</x:v>
      </x:c>
      <x:c r="K538" s="9" t="str"/>
      <x:c r="L538" t="str">
        <x:v>gemma4:e4b</x:v>
      </x:c>
    </x:row>
    <x:row r="539" ht="38" customHeight="1">
      <x:c r="A539" t="n">
        <x:v>3095</x:v>
      </x:c>
      <x:c r="B539" t="str">
        <x:v>1.2.826.0.1.3680043.8.498.65708905118633339771181857781063784327</x:v>
      </x:c>
      <x:c r="C539" t="str">
        <x:v>English</x:v>
      </x:c>
      <x:c r="D539" t="str">
        <x:v>Contusion</x:v>
      </x:c>
      <x:c r="E539" s="21" t="n">
        <x:v>0</x:v>
      </x:c>
      <x:c r="F539" s="21"/>
      <x:c r="G539" s="21" t="str">
        <x:f>IF(COUNT(F539)=0,"판정없음",IF(E539=F539,"일치",E539&amp;"→"&amp;F539))</x:f>
        <x:v>판정없음</x:v>
      </x:c>
      <x:c r="H539" t="str">
        <x:v>not_mentioned</x:v>
      </x:c>
      <x:c r="I539" s="9" t="str"/>
      <x:c r="J539" s="9" t="str">
        <x:v>True</x:v>
      </x:c>
      <x:c r="K539" s="9" t="str"/>
      <x:c r="L539" t="str">
        <x:v>gemma4:e4b</x:v>
      </x:c>
    </x:row>
    <x:row r="540" ht="38" customHeight="1">
      <x:c r="A540" t="n">
        <x:v>3095</x:v>
      </x:c>
      <x:c r="B540" t="str">
        <x:v>1.2.826.0.1.3680043.8.498.65708905118633339771181857781063784327</x:v>
      </x:c>
      <x:c r="C540" t="str">
        <x:v>English</x:v>
      </x:c>
      <x:c r="D540" t="str">
        <x:v>Effusion</x:v>
      </x:c>
      <x:c r="E540" s="21" t="n">
        <x:v>1</x:v>
      </x:c>
      <x:c r="F540" s="21" t="n">
        <x:v>1</x:v>
      </x:c>
      <x:c r="G540" s="21" t="str">
        <x:f>IF(COUNT(F540)=0,"판정없음",IF(E540=F540,"일치",E540&amp;"→"&amp;F540))</x:f>
        <x:v>일치</x:v>
      </x:c>
      <x:c r="H540" t="str">
        <x:v>explicit_positive</x:v>
      </x:c>
      <x:c r="I540" s="9" t="str">
        <x:v>Some amount of left knee effusion with synovitis is present</x:v>
      </x:c>
      <x:c r="J540" s="9" t="str">
        <x:v>True</x:v>
      </x:c>
      <x:c r="K540" s="9" t="str"/>
      <x:c r="L540" t="str">
        <x:v>gemma4:e4b</x:v>
      </x:c>
    </x:row>
    <x:row r="541" ht="38" customHeight="1">
      <x:c r="A541" t="n">
        <x:v>3095</x:v>
      </x:c>
      <x:c r="B541" t="str">
        <x:v>1.2.826.0.1.3680043.8.498.65708905118633339771181857781063784327</x:v>
      </x:c>
      <x:c r="C541" t="str">
        <x:v>English</x:v>
      </x:c>
      <x:c r="D541" t="str">
        <x:v>Fracture</x:v>
      </x:c>
      <x:c r="E541" s="21" t="n">
        <x:v>0</x:v>
      </x:c>
      <x:c r="F541" s="21"/>
      <x:c r="G541" s="21" t="str">
        <x:f>IF(COUNT(F541)=0,"판정없음",IF(E541=F541,"일치",E541&amp;"→"&amp;F541))</x:f>
        <x:v>판정없음</x:v>
      </x:c>
      <x:c r="H541" t="str">
        <x:v>not_mentioned</x:v>
      </x:c>
      <x:c r="I541" s="9" t="str"/>
      <x:c r="J541" s="9" t="str">
        <x:v>True</x:v>
      </x:c>
      <x:c r="K541" s="9" t="str"/>
      <x:c r="L541" t="str">
        <x:v>gemma4:e4b</x:v>
      </x:c>
    </x:row>
    <x:row r="542" ht="38" customHeight="1">
      <x:c r="A542" t="n">
        <x:v>3095</x:v>
      </x:c>
      <x:c r="B542" t="str">
        <x:v>1.2.826.0.1.3680043.8.498.65708905118633339771181857781063784327</x:v>
      </x:c>
      <x:c r="C542" t="str">
        <x:v>English</x:v>
      </x:c>
      <x:c r="D542" t="str">
        <x:v>Lateral Meniscus</x:v>
      </x:c>
      <x:c r="E542" s="21" t="n">
        <x:v>1</x:v>
      </x:c>
      <x:c r="F542" s="21"/>
      <x:c r="G542" s="21" t="str">
        <x:f>IF(COUNT(F542)=0,"판정없음",IF(E542=F542,"일치",E542&amp;"→"&amp;F542))</x:f>
        <x:v>판정없음</x:v>
      </x:c>
      <x:c r="H542" t="str">
        <x:v>uncertain_or_indirect</x:v>
      </x:c>
      <x:c r="I542" s="9" t="str">
        <x:v>Suspected small horizontal tear at the anterior horn of the lateral meniscus</x:v>
      </x:c>
      <x:c r="J542" s="9" t="str">
        <x:v>True</x:v>
      </x:c>
      <x:c r="K542" s="9" t="str"/>
      <x:c r="L542" t="str">
        <x:v>gemma4:e4b</x:v>
      </x:c>
    </x:row>
    <x:row r="543" ht="38" customHeight="1">
      <x:c r="A543" t="n">
        <x:v>3095</x:v>
      </x:c>
      <x:c r="B543" t="str">
        <x:v>1.2.826.0.1.3680043.8.498.65708905118633339771181857781063784327</x:v>
      </x:c>
      <x:c r="C543" t="str">
        <x:v>English</x:v>
      </x:c>
      <x:c r="D543" t="str">
        <x:v>Lateral OA</x:v>
      </x:c>
      <x:c r="E543" s="21" t="n">
        <x:v>1</x:v>
      </x:c>
      <x:c r="F543" s="21" t="n">
        <x:v>1</x:v>
      </x:c>
      <x:c r="G543" s="21" t="str">
        <x:f>IF(COUNT(F543)=0,"판정없음",IF(E543=F543,"일치",E543&amp;"→"&amp;F543))</x:f>
        <x:v>일치</x:v>
      </x:c>
      <x:c r="H543" t="str">
        <x:v>explicit_positive</x:v>
      </x:c>
      <x:c r="I543" s="9" t="str">
        <x:v>focal high grade chondrla defectat mid lateral tibial plateau</x:v>
      </x:c>
      <x:c r="J543" s="9" t="str">
        <x:v>True</x:v>
      </x:c>
      <x:c r="K543" s="9" t="str">
        <x:v>Osteophytes are present.</x:v>
      </x:c>
      <x:c r="L543" t="str">
        <x:v>gemma4:e4b</x:v>
      </x:c>
    </x:row>
    <x:row r="544" ht="38" customHeight="1">
      <x:c r="A544" t="n">
        <x:v>3095</x:v>
      </x:c>
      <x:c r="B544" t="str">
        <x:v>1.2.826.0.1.3680043.8.498.65708905118633339771181857781063784327</x:v>
      </x:c>
      <x:c r="C544" t="str">
        <x:v>English</x:v>
      </x:c>
      <x:c r="D544" t="str">
        <x:v>MCL</x:v>
      </x:c>
      <x:c r="E544" s="21" t="n">
        <x:v>0</x:v>
      </x:c>
      <x:c r="F544" s="21" t="n">
        <x:v>0</x:v>
      </x:c>
      <x:c r="G544" s="21" t="str">
        <x:f>IF(COUNT(F544)=0,"판정없음",IF(E544=F544,"일치",E544&amp;"→"&amp;F544))</x:f>
        <x:v>일치</x:v>
      </x:c>
      <x:c r="H544" t="str">
        <x:v>explicit_negative</x:v>
      </x:c>
      <x:c r="I544" s="9" t="str">
        <x:v>The medial collateral ligament complexes are intact</x:v>
      </x:c>
      <x:c r="J544" s="9" t="str">
        <x:v>True</x:v>
      </x:c>
      <x:c r="K544" s="9" t="str"/>
      <x:c r="L544" t="str">
        <x:v>gemma4:e4b</x:v>
      </x:c>
    </x:row>
    <x:row r="545" ht="38" customHeight="1">
      <x:c r="A545" t="n">
        <x:v>3095</x:v>
      </x:c>
      <x:c r="B545" t="str">
        <x:v>1.2.826.0.1.3680043.8.498.65708905118633339771181857781063784327</x:v>
      </x:c>
      <x:c r="C545" t="str">
        <x:v>English</x:v>
      </x:c>
      <x:c r="D545" t="str">
        <x:v>Medial Meniscus</x:v>
      </x:c>
      <x:c r="E545" s="21" t="n">
        <x:v>1</x:v>
      </x:c>
      <x:c r="F545" s="21" t="n">
        <x:v>1</x:v>
      </x:c>
      <x:c r="G545" s="21" t="str">
        <x:f>IF(COUNT(F545)=0,"판정없음",IF(E545=F545,"일치",E545&amp;"→"&amp;F545))</x:f>
        <x:v>일치</x:v>
      </x:c>
      <x:c r="H545" t="str">
        <x:v>explicit_positive</x:v>
      </x:c>
      <x:c r="I545" s="9" t="str">
        <x:v>radial tear at the posterior root of the medial meniscus</x:v>
      </x:c>
      <x:c r="J545" s="9" t="str">
        <x:v>True</x:v>
      </x:c>
      <x:c r="K545" s="9" t="str">
        <x:v>meniscal extrusion into the medial gutter</x:v>
      </x:c>
      <x:c r="L545" t="str">
        <x:v>gemma4:e4b</x:v>
      </x:c>
    </x:row>
    <x:row r="546" ht="38" customHeight="1">
      <x:c r="A546" t="n">
        <x:v>3095</x:v>
      </x:c>
      <x:c r="B546" t="str">
        <x:v>1.2.826.0.1.3680043.8.498.65708905118633339771181857781063784327</x:v>
      </x:c>
      <x:c r="C546" t="str">
        <x:v>English</x:v>
      </x:c>
      <x:c r="D546" t="str">
        <x:v>Medial OA</x:v>
      </x:c>
      <x:c r="E546" s="21" t="n">
        <x:v>1</x:v>
      </x:c>
      <x:c r="F546" s="21" t="n">
        <x:v>1</x:v>
      </x:c>
      <x:c r="G546" s="21" t="str">
        <x:f>IF(COUNT(F546)=0,"판정없음",IF(E546=F546,"일치",E546&amp;"→"&amp;F546))</x:f>
        <x:v>일치</x:v>
      </x:c>
      <x:c r="H546" t="str">
        <x:v>explicit_positive</x:v>
      </x:c>
      <x:c r="I546" s="9" t="str">
        <x:v>diffuse high grade and low grade chondrosis (less than and more than 50% thickness cartilage loss) along weightbaring medial femoral condyle and medial tibial plateau</x:v>
      </x:c>
      <x:c r="J546" s="9" t="str">
        <x:v>True</x:v>
      </x:c>
      <x:c r="K546" s="9" t="str">
        <x:v>Osteophytes are present.</x:v>
      </x:c>
      <x:c r="L546" t="str">
        <x:v>gemma4:e4b</x:v>
      </x:c>
    </x:row>
    <x:row r="547" ht="38" customHeight="1">
      <x:c r="A547" t="n">
        <x:v>3095</x:v>
      </x:c>
      <x:c r="B547" t="str">
        <x:v>1.2.826.0.1.3680043.8.498.65708905118633339771181857781063784327</x:v>
      </x:c>
      <x:c r="C547" t="str">
        <x:v>English</x:v>
      </x:c>
      <x:c r="D547" t="str">
        <x:v>PF OA</x:v>
      </x:c>
      <x:c r="E547" s="21" t="n">
        <x:v>1</x:v>
      </x:c>
      <x:c r="F547" s="21" t="n">
        <x:v>1</x:v>
      </x:c>
      <x:c r="G547" s="21" t="str">
        <x:f>IF(COUNT(F547)=0,"판정없음",IF(E547=F547,"일치",E547&amp;"→"&amp;F547))</x:f>
        <x:v>일치</x:v>
      </x:c>
      <x:c r="H547" t="str">
        <x:v>explicit_positive</x:v>
      </x:c>
      <x:c r="I547" s="9" t="str">
        <x:v>diffuse low grade and high grade chondrosis (less than and more than 50% thickness cartilage loss) along medial and lateral trochleas, medial and lateral patellar facets</x:v>
      </x:c>
      <x:c r="J547" s="9" t="str">
        <x:v>True</x:v>
      </x:c>
      <x:c r="K547" s="9" t="str">
        <x:v>Osteophytes are present.</x:v>
      </x:c>
      <x:c r="L547" t="str">
        <x:v>gemma4:e4b</x:v>
      </x:c>
    </x:row>
    <x:row r="548" ht="38" customHeight="1">
      <x:c r="A548" t="n">
        <x:v>3095</x:v>
      </x:c>
      <x:c r="B548" t="str">
        <x:v>1.2.826.0.1.3680043.8.498.65708905118633339771181857781063784327</x:v>
      </x:c>
      <x:c r="C548" t="str">
        <x:v>English</x:v>
      </x:c>
      <x:c r="D548" t="str">
        <x:v>Synovitis</x:v>
      </x:c>
      <x:c r="E548" s="21" t="n">
        <x:v>1</x:v>
      </x:c>
      <x:c r="F548" s="21" t="n">
        <x:v>1</x:v>
      </x:c>
      <x:c r="G548" s="21" t="str">
        <x:f>IF(COUNT(F548)=0,"판정없음",IF(E548=F548,"일치",E548&amp;"→"&amp;F548))</x:f>
        <x:v>일치</x:v>
      </x:c>
      <x:c r="H548" t="str">
        <x:v>explicit_positive</x:v>
      </x:c>
      <x:c r="I548" s="9" t="str">
        <x:v>Some amount of left knee effusion with synovitis is present</x:v>
      </x:c>
      <x:c r="J548" s="9" t="str">
        <x:v>True</x:v>
      </x:c>
      <x:c r="K548" s="9" t="str"/>
      <x:c r="L548" t="str">
        <x:v>gemma4:e4b</x:v>
      </x:c>
    </x:row>
    <x:row r="549" ht="38" customHeight="1">
      <x:c r="A549" t="n">
        <x:v>3147</x:v>
      </x:c>
      <x:c r="B549" t="str">
        <x:v>1.2.826.0.1.3680043.8.498.67188121544063723837669983597453941774</x:v>
      </x:c>
      <x:c r="C549" t="str">
        <x:v>Turkish</x:v>
      </x:c>
      <x:c r="D549" t="str">
        <x:v>ACL</x:v>
      </x:c>
      <x:c r="E549" s="21" t="n">
        <x:v>1</x:v>
      </x:c>
      <x:c r="F549" s="21"/>
      <x:c r="G549" s="21" t="str">
        <x:f>IF(COUNT(F549)=0,"판정없음",IF(E549=F549,"일치",E549&amp;"→"&amp;F549))</x:f>
        <x:v>판정없음</x:v>
      </x:c>
      <x:c r="H549" t="str">
        <x:v>uncertain_or_indirect</x:v>
      </x:c>
      <x:c r="I549" s="9" t="str">
        <x:v>ACL'de parsiyel rüptürü düşündüren devamsızlık, trasesinde sinyal-kalınlık artışı izlenmiştir.</x:v>
      </x:c>
      <x:c r="J549" s="9" t="str">
        <x:v>True</x:v>
      </x:c>
      <x:c r="K549" s="9" t="str">
        <x:v>ACL</x:v>
      </x:c>
      <x:c r="L549" t="str">
        <x:v>gemma4:e4b</x:v>
      </x:c>
    </x:row>
    <x:row r="550" ht="38" customHeight="1">
      <x:c r="A550" t="n">
        <x:v>3147</x:v>
      </x:c>
      <x:c r="B550" t="str">
        <x:v>1.2.826.0.1.3680043.8.498.67188121544063723837669983597453941774</x:v>
      </x:c>
      <x:c r="C550" t="str">
        <x:v>Turkish</x:v>
      </x:c>
      <x:c r="D550" t="str">
        <x:v>Baker's</x:v>
      </x:c>
      <x:c r="E550" s="21" t="n">
        <x:v>0</x:v>
      </x:c>
      <x:c r="F550" s="21"/>
      <x:c r="G550" s="21" t="str">
        <x:f>IF(COUNT(F550)=0,"판정없음",IF(E550=F550,"일치",E550&amp;"→"&amp;F550))</x:f>
        <x:v>판정없음</x:v>
      </x:c>
      <x:c r="H550" t="str">
        <x:v>not_mentioned</x:v>
      </x:c>
      <x:c r="I550" s="9" t="str"/>
      <x:c r="J550" s="9" t="str">
        <x:v>True</x:v>
      </x:c>
      <x:c r="K550" s="9" t="str"/>
      <x:c r="L550" t="str">
        <x:v>gemma4:e4b</x:v>
      </x:c>
    </x:row>
    <x:row r="551" ht="38" customHeight="1">
      <x:c r="A551" t="n">
        <x:v>3147</x:v>
      </x:c>
      <x:c r="B551" t="str">
        <x:v>1.2.826.0.1.3680043.8.498.67188121544063723837669983597453941774</x:v>
      </x:c>
      <x:c r="C551" t="str">
        <x:v>Turkish</x:v>
      </x:c>
      <x:c r="D551" t="str">
        <x:v>Contusion</x:v>
      </x:c>
      <x:c r="E551" s="21" t="n">
        <x:v>0</x:v>
      </x:c>
      <x:c r="F551" s="21"/>
      <x:c r="G551" s="21" t="str">
        <x:f>IF(COUNT(F551)=0,"판정없음",IF(E551=F551,"일치",E551&amp;"→"&amp;F551))</x:f>
        <x:v>판정없음</x:v>
      </x:c>
      <x:c r="H551" t="str">
        <x:v>not_mentioned</x:v>
      </x:c>
      <x:c r="I551" s="9" t="str"/>
      <x:c r="J551" s="9" t="str">
        <x:v>True</x:v>
      </x:c>
      <x:c r="K551" s="9" t="str"/>
      <x:c r="L551" t="str">
        <x:v>gemma4:e4b</x:v>
      </x:c>
    </x:row>
    <x:row r="552" ht="38" customHeight="1">
      <x:c r="A552" t="n">
        <x:v>3147</x:v>
      </x:c>
      <x:c r="B552" t="str">
        <x:v>1.2.826.0.1.3680043.8.498.67188121544063723837669983597453941774</x:v>
      </x:c>
      <x:c r="C552" t="str">
        <x:v>Turkish</x:v>
      </x:c>
      <x:c r="D552" t="str">
        <x:v>Effusion</x:v>
      </x:c>
      <x:c r="E552" s="21" t="n">
        <x:v>1</x:v>
      </x:c>
      <x:c r="F552" s="21" t="n">
        <x:v>1</x:v>
      </x:c>
      <x:c r="G552" s="21" t="str">
        <x:f>IF(COUNT(F552)=0,"판정없음",IF(E552=F552,"일치",E552&amp;"→"&amp;F552))</x:f>
        <x:v>일치</x:v>
      </x:c>
      <x:c r="H552" t="str">
        <x:v>explicit_positive</x:v>
      </x:c>
      <x:c r="I552" s="9" t="str">
        <x:v>Suprapatellar bursada, diz eklem kapsülünde artmış efüzyon mevcuttur.</x:v>
      </x:c>
      <x:c r="J552" s="9" t="str">
        <x:v>True</x:v>
      </x:c>
      <x:c r="K552" s="9" t="str">
        <x:v>Effusion</x:v>
      </x:c>
      <x:c r="L552" t="str">
        <x:v>gemma4:e4b</x:v>
      </x:c>
    </x:row>
    <x:row r="553" ht="38" customHeight="1">
      <x:c r="A553" t="n">
        <x:v>3147</x:v>
      </x:c>
      <x:c r="B553" t="str">
        <x:v>1.2.826.0.1.3680043.8.498.67188121544063723837669983597453941774</x:v>
      </x:c>
      <x:c r="C553" t="str">
        <x:v>Turkish</x:v>
      </x:c>
      <x:c r="D553" t="str">
        <x:v>Fracture</x:v>
      </x:c>
      <x:c r="E553" s="21" t="n">
        <x:v>0</x:v>
      </x:c>
      <x:c r="F553" s="21"/>
      <x:c r="G553" s="21" t="str">
        <x:f>IF(COUNT(F553)=0,"판정없음",IF(E553=F553,"일치",E553&amp;"→"&amp;F553))</x:f>
        <x:v>판정없음</x:v>
      </x:c>
      <x:c r="H553" t="str">
        <x:v>not_mentioned</x:v>
      </x:c>
      <x:c r="I553" s="9" t="str"/>
      <x:c r="J553" s="9" t="str">
        <x:v>True</x:v>
      </x:c>
      <x:c r="K553" s="9" t="str"/>
      <x:c r="L553" t="str">
        <x:v>gemma4:e4b</x:v>
      </x:c>
    </x:row>
    <x:row r="554" ht="38" customHeight="1">
      <x:c r="A554" t="n">
        <x:v>3147</x:v>
      </x:c>
      <x:c r="B554" t="str">
        <x:v>1.2.826.0.1.3680043.8.498.67188121544063723837669983597453941774</x:v>
      </x:c>
      <x:c r="C554" t="str">
        <x:v>Turkish</x:v>
      </x:c>
      <x:c r="D554" t="str">
        <x:v>Lateral Meniscus</x:v>
      </x:c>
      <x:c r="E554" s="21" t="n">
        <x:v>0</x:v>
      </x:c>
      <x:c r="F554" s="21"/>
      <x:c r="G554" s="21" t="str">
        <x:f>IF(COUNT(F554)=0,"판정없음",IF(E554=F554,"일치",E554&amp;"→"&amp;F554))</x:f>
        <x:v>판정없음</x:v>
      </x:c>
      <x:c r="H554" t="str">
        <x:v>uncertain_or_indirect</x:v>
      </x:c>
      <x:c r="I554" s="9" t="str">
        <x:v>Lateral menisküste grade II dejenerasyon saptanmıştır.</x:v>
      </x:c>
      <x:c r="J554" s="9" t="str">
        <x:v>True</x:v>
      </x:c>
      <x:c r="K554" s="9" t="str">
        <x:v>Lateral Meniscus</x:v>
      </x:c>
      <x:c r="L554" t="str">
        <x:v>gemma4:e4b</x:v>
      </x:c>
    </x:row>
    <x:row r="555" ht="38" customHeight="1">
      <x:c r="A555" t="n">
        <x:v>3147</x:v>
      </x:c>
      <x:c r="B555" t="str">
        <x:v>1.2.826.0.1.3680043.8.498.67188121544063723837669983597453941774</x:v>
      </x:c>
      <x:c r="C555" t="str">
        <x:v>Turkish</x:v>
      </x:c>
      <x:c r="D555" t="str">
        <x:v>Lateral OA</x:v>
      </x:c>
      <x:c r="E555" s="21" t="n">
        <x:v>0</x:v>
      </x:c>
      <x:c r="F555" s="21"/>
      <x:c r="G555" s="21" t="str">
        <x:f>IF(COUNT(F555)=0,"판정없음",IF(E555=F555,"일치",E555&amp;"→"&amp;F555))</x:f>
        <x:v>판정없음</x:v>
      </x:c>
      <x:c r="H555" t="str">
        <x:v>not_mentioned</x:v>
      </x:c>
      <x:c r="I555" s="9" t="str"/>
      <x:c r="J555" s="9" t="str">
        <x:v>True</x:v>
      </x:c>
      <x:c r="K555" s="9" t="str"/>
      <x:c r="L555" t="str">
        <x:v>gemma4:e4b</x:v>
      </x:c>
    </x:row>
    <x:row r="556" ht="38" customHeight="1">
      <x:c r="A556" t="n">
        <x:v>3147</x:v>
      </x:c>
      <x:c r="B556" t="str">
        <x:v>1.2.826.0.1.3680043.8.498.67188121544063723837669983597453941774</x:v>
      </x:c>
      <x:c r="C556" t="str">
        <x:v>Turkish</x:v>
      </x:c>
      <x:c r="D556" t="str">
        <x:v>MCL</x:v>
      </x:c>
      <x:c r="E556" s="21" t="n">
        <x:v>0</x:v>
      </x:c>
      <x:c r="F556" s="21" t="n">
        <x:v>0</x:v>
      </x:c>
      <x:c r="G556" s="21" t="str">
        <x:f>IF(COUNT(F556)=0,"판정없음",IF(E556=F556,"일치",E556&amp;"→"&amp;F556))</x:f>
        <x:v>일치</x:v>
      </x:c>
      <x:c r="H556" t="str">
        <x:v>explicit_negative</x:v>
      </x:c>
      <x:c r="I556" s="9" t="str">
        <x:v>Lateral ve medial kollateral ligaman normaldir.</x:v>
      </x:c>
      <x:c r="J556" s="9" t="str">
        <x:v>True</x:v>
      </x:c>
      <x:c r="K556" s="9" t="str">
        <x:v>MCL</x:v>
      </x:c>
      <x:c r="L556" t="str">
        <x:v>gemma4:e4b</x:v>
      </x:c>
    </x:row>
    <x:row r="557" ht="38" customHeight="1">
      <x:c r="A557" t="n">
        <x:v>3147</x:v>
      </x:c>
      <x:c r="B557" t="str">
        <x:v>1.2.826.0.1.3680043.8.498.67188121544063723837669983597453941774</x:v>
      </x:c>
      <x:c r="C557" t="str">
        <x:v>Turkish</x:v>
      </x:c>
      <x:c r="D557" t="str">
        <x:v>Medial Meniscus</x:v>
      </x:c>
      <x:c r="E557" s="21" t="n">
        <x:v>1</x:v>
      </x:c>
      <x:c r="F557" s="21" t="n">
        <x:v>1</x:v>
      </x:c>
      <x:c r="G557" s="21" t="str">
        <x:f>IF(COUNT(F557)=0,"판정없음",IF(E557=F557,"일치",E557&amp;"→"&amp;F557))</x:f>
        <x:v>일치</x:v>
      </x:c>
      <x:c r="H557" t="str">
        <x:v>explicit_positive</x:v>
      </x:c>
      <x:c r="I557" s="9" t="str">
        <x:v>Medial menisküs posterior hornda radial yırtık hattı izlenmiştir.</x:v>
      </x:c>
      <x:c r="J557" s="9" t="str">
        <x:v>True</x:v>
      </x:c>
      <x:c r="K557" s="9" t="str">
        <x:v>Medial Meniscus</x:v>
      </x:c>
      <x:c r="L557" t="str">
        <x:v>gemma4:e4b</x:v>
      </x:c>
    </x:row>
    <x:row r="558" ht="38" customHeight="1">
      <x:c r="A558" t="n">
        <x:v>3147</x:v>
      </x:c>
      <x:c r="B558" t="str">
        <x:v>1.2.826.0.1.3680043.8.498.67188121544063723837669983597453941774</x:v>
      </x:c>
      <x:c r="C558" t="str">
        <x:v>Turkish</x:v>
      </x:c>
      <x:c r="D558" t="str">
        <x:v>Medial OA</x:v>
      </x:c>
      <x:c r="E558" s="21" t="n">
        <x:v>0</x:v>
      </x:c>
      <x:c r="F558" s="21"/>
      <x:c r="G558" s="21" t="str">
        <x:f>IF(COUNT(F558)=0,"판정없음",IF(E558=F558,"일치",E558&amp;"→"&amp;F558))</x:f>
        <x:v>판정없음</x:v>
      </x:c>
      <x:c r="H558" t="str">
        <x:v>not_mentioned</x:v>
      </x:c>
      <x:c r="I558" s="9" t="str"/>
      <x:c r="J558" s="9" t="str">
        <x:v>True</x:v>
      </x:c>
      <x:c r="K558" s="9" t="str"/>
      <x:c r="L558" t="str">
        <x:v>gemma4:e4b</x:v>
      </x:c>
    </x:row>
    <x:row r="559" ht="38" customHeight="1">
      <x:c r="A559" t="n">
        <x:v>3147</x:v>
      </x:c>
      <x:c r="B559" t="str">
        <x:v>1.2.826.0.1.3680043.8.498.67188121544063723837669983597453941774</x:v>
      </x:c>
      <x:c r="C559" t="str">
        <x:v>Turkish</x:v>
      </x:c>
      <x:c r="D559" t="str">
        <x:v>PF OA</x:v>
      </x:c>
      <x:c r="E559" s="21" t="n">
        <x:v>0</x:v>
      </x:c>
      <x:c r="F559" s="21"/>
      <x:c r="G559" s="21" t="str">
        <x:f>IF(COUNT(F559)=0,"판정없음",IF(E559=F559,"일치",E559&amp;"→"&amp;F559))</x:f>
        <x:v>판정없음</x:v>
      </x:c>
      <x:c r="H559" t="str">
        <x:v>not_mentioned</x:v>
      </x:c>
      <x:c r="I559" s="9" t="str"/>
      <x:c r="J559" s="9" t="str">
        <x:v>True</x:v>
      </x:c>
      <x:c r="K559" s="9" t="str"/>
      <x:c r="L559" t="str">
        <x:v>gemma4:e4b</x:v>
      </x:c>
    </x:row>
    <x:row r="560" ht="38" customHeight="1">
      <x:c r="A560" t="n">
        <x:v>3147</x:v>
      </x:c>
      <x:c r="B560" t="str">
        <x:v>1.2.826.0.1.3680043.8.498.67188121544063723837669983597453941774</x:v>
      </x:c>
      <x:c r="C560" t="str">
        <x:v>Turkish</x:v>
      </x:c>
      <x:c r="D560" t="str">
        <x:v>Synovitis</x:v>
      </x:c>
      <x:c r="E560" s="21" t="n">
        <x:v>0</x:v>
      </x:c>
      <x:c r="F560" s="21"/>
      <x:c r="G560" s="21" t="str">
        <x:f>IF(COUNT(F560)=0,"판정없음",IF(E560=F560,"일치",E560&amp;"→"&amp;F560))</x:f>
        <x:v>판정없음</x:v>
      </x:c>
      <x:c r="H560" t="str">
        <x:v>not_mentioned</x:v>
      </x:c>
      <x:c r="I560" s="9" t="str"/>
      <x:c r="J560" s="9" t="str">
        <x:v>True</x:v>
      </x:c>
      <x:c r="K560" s="9" t="str"/>
      <x:c r="L560" t="str">
        <x:v>gemma4:e4b</x:v>
      </x:c>
    </x:row>
    <x:row r="561" ht="38" customHeight="1">
      <x:c r="A561" t="n">
        <x:v>3240</x:v>
      </x:c>
      <x:c r="B561" t="str">
        <x:v>1.2.826.0.1.3680043.8.498.69392348385274125385290015404144639002</x:v>
      </x:c>
      <x:c r="C561" t="str">
        <x:v>Spanish</x:v>
      </x:c>
      <x:c r="D561" t="str">
        <x:v>ACL</x:v>
      </x:c>
      <x:c r="E561" s="21" t="n">
        <x:v>0</x:v>
      </x:c>
      <x:c r="F561" s="21"/>
      <x:c r="G561" s="21" t="str">
        <x:f>IF(COUNT(F561)=0,"판정없음",IF(E561=F561,"일치",E561&amp;"→"&amp;F561))</x:f>
        <x:v>판정없음</x:v>
      </x:c>
      <x:c r="H561" t="str">
        <x:v>not_mentioned</x:v>
      </x:c>
      <x:c r="I561" s="9" t="str"/>
      <x:c r="J561" s="9" t="str">
        <x:v>True</x:v>
      </x:c>
      <x:c r="K561" s="9" t="str"/>
      <x:c r="L561" t="str">
        <x:v>gemma4:e4b</x:v>
      </x:c>
    </x:row>
    <x:row r="562" ht="38" customHeight="1">
      <x:c r="A562" t="n">
        <x:v>3240</x:v>
      </x:c>
      <x:c r="B562" t="str">
        <x:v>1.2.826.0.1.3680043.8.498.69392348385274125385290015404144639002</x:v>
      </x:c>
      <x:c r="C562" t="str">
        <x:v>Spanish</x:v>
      </x:c>
      <x:c r="D562" t="str">
        <x:v>Baker's</x:v>
      </x:c>
      <x:c r="E562" s="21" t="n">
        <x:v>0</x:v>
      </x:c>
      <x:c r="F562" s="21"/>
      <x:c r="G562" s="21" t="str">
        <x:f>IF(COUNT(F562)=0,"판정없음",IF(E562=F562,"일치",E562&amp;"→"&amp;F562))</x:f>
        <x:v>판정없음</x:v>
      </x:c>
      <x:c r="H562" t="str">
        <x:v>not_mentioned</x:v>
      </x:c>
      <x:c r="I562" s="9" t="str"/>
      <x:c r="J562" s="9" t="str">
        <x:v>True</x:v>
      </x:c>
      <x:c r="K562" s="9" t="str"/>
      <x:c r="L562" t="str">
        <x:v>gemma4:e4b</x:v>
      </x:c>
    </x:row>
    <x:row r="563" ht="38" customHeight="1">
      <x:c r="A563" t="n">
        <x:v>3240</x:v>
      </x:c>
      <x:c r="B563" t="str">
        <x:v>1.2.826.0.1.3680043.8.498.69392348385274125385290015404144639002</x:v>
      </x:c>
      <x:c r="C563" t="str">
        <x:v>Spanish</x:v>
      </x:c>
      <x:c r="D563" t="str">
        <x:v>Contusion</x:v>
      </x:c>
      <x:c r="E563" s="21" t="n">
        <x:v>0</x:v>
      </x:c>
      <x:c r="F563" s="21"/>
      <x:c r="G563" s="21" t="str">
        <x:f>IF(COUNT(F563)=0,"판정없음",IF(E563=F563,"일치",E563&amp;"→"&amp;F563))</x:f>
        <x:v>판정없음</x:v>
      </x:c>
      <x:c r="H563" t="str">
        <x:v>not_mentioned</x:v>
      </x:c>
      <x:c r="I563" s="9" t="str"/>
      <x:c r="J563" s="9" t="str">
        <x:v>True</x:v>
      </x:c>
      <x:c r="K563" s="9" t="str"/>
      <x:c r="L563" t="str">
        <x:v>gemma4:e4b</x:v>
      </x:c>
    </x:row>
    <x:row r="564" ht="38" customHeight="1">
      <x:c r="A564" t="n">
        <x:v>3240</x:v>
      </x:c>
      <x:c r="B564" t="str">
        <x:v>1.2.826.0.1.3680043.8.498.69392348385274125385290015404144639002</x:v>
      </x:c>
      <x:c r="C564" t="str">
        <x:v>Spanish</x:v>
      </x:c>
      <x:c r="D564" t="str">
        <x:v>Effusion</x:v>
      </x:c>
      <x:c r="E564" s="21" t="n">
        <x:v>0</x:v>
      </x:c>
      <x:c r="F564" s="21"/>
      <x:c r="G564" s="21" t="str">
        <x:f>IF(COUNT(F564)=0,"판정없음",IF(E564=F564,"일치",E564&amp;"→"&amp;F564))</x:f>
        <x:v>판정없음</x:v>
      </x:c>
      <x:c r="H564" t="str">
        <x:v>not_mentioned</x:v>
      </x:c>
      <x:c r="I564" s="9" t="str"/>
      <x:c r="J564" s="9" t="str">
        <x:v>True</x:v>
      </x:c>
      <x:c r="K564" s="9" t="str"/>
      <x:c r="L564" t="str">
        <x:v>gemma4:e4b</x:v>
      </x:c>
    </x:row>
    <x:row r="565" ht="38" customHeight="1">
      <x:c r="A565" t="n">
        <x:v>3240</x:v>
      </x:c>
      <x:c r="B565" t="str">
        <x:v>1.2.826.0.1.3680043.8.498.69392348385274125385290015404144639002</x:v>
      </x:c>
      <x:c r="C565" t="str">
        <x:v>Spanish</x:v>
      </x:c>
      <x:c r="D565" t="str">
        <x:v>Fracture</x:v>
      </x:c>
      <x:c r="E565" s="21" t="n">
        <x:v>0</x:v>
      </x:c>
      <x:c r="F565" s="21"/>
      <x:c r="G565" s="21" t="str">
        <x:f>IF(COUNT(F565)=0,"판정없음",IF(E565=F565,"일치",E565&amp;"→"&amp;F565))</x:f>
        <x:v>판정없음</x:v>
      </x:c>
      <x:c r="H565" t="str">
        <x:v>not_mentioned</x:v>
      </x:c>
      <x:c r="I565" s="9" t="str"/>
      <x:c r="J565" s="9" t="str">
        <x:v>True</x:v>
      </x:c>
      <x:c r="K565" s="9" t="str"/>
      <x:c r="L565" t="str">
        <x:v>gemma4:e4b</x:v>
      </x:c>
    </x:row>
    <x:row r="566" ht="38" customHeight="1">
      <x:c r="A566" t="n">
        <x:v>3240</x:v>
      </x:c>
      <x:c r="B566" t="str">
        <x:v>1.2.826.0.1.3680043.8.498.69392348385274125385290015404144639002</x:v>
      </x:c>
      <x:c r="C566" t="str">
        <x:v>Spanish</x:v>
      </x:c>
      <x:c r="D566" t="str">
        <x:v>Lateral Meniscus</x:v>
      </x:c>
      <x:c r="E566" s="21" t="n">
        <x:v>0</x:v>
      </x:c>
      <x:c r="F566" s="21"/>
      <x:c r="G566" s="21" t="str">
        <x:f>IF(COUNT(F566)=0,"판정없음",IF(E566=F566,"일치",E566&amp;"→"&amp;F566))</x:f>
        <x:v>판정없음</x:v>
      </x:c>
      <x:c r="H566" t="str">
        <x:v>not_mentioned</x:v>
      </x:c>
      <x:c r="I566" s="9" t="str"/>
      <x:c r="J566" s="9" t="str">
        <x:v>True</x:v>
      </x:c>
      <x:c r="K566" s="9" t="str"/>
      <x:c r="L566" t="str">
        <x:v>gemma4:e4b</x:v>
      </x:c>
    </x:row>
    <x:row r="567" ht="38" customHeight="1">
      <x:c r="A567" t="n">
        <x:v>3240</x:v>
      </x:c>
      <x:c r="B567" t="str">
        <x:v>1.2.826.0.1.3680043.8.498.69392348385274125385290015404144639002</x:v>
      </x:c>
      <x:c r="C567" t="str">
        <x:v>Spanish</x:v>
      </x:c>
      <x:c r="D567" t="str">
        <x:v>Lateral OA</x:v>
      </x:c>
      <x:c r="E567" s="21" t="n">
        <x:v>0</x:v>
      </x:c>
      <x:c r="F567" s="21"/>
      <x:c r="G567" s="21" t="str">
        <x:f>IF(COUNT(F567)=0,"판정없음",IF(E567=F567,"일치",E567&amp;"→"&amp;F567))</x:f>
        <x:v>판정없음</x:v>
      </x:c>
      <x:c r="H567" t="str">
        <x:v>not_mentioned</x:v>
      </x:c>
      <x:c r="I567" s="9" t="str"/>
      <x:c r="J567" s="9" t="str">
        <x:v>True</x:v>
      </x:c>
      <x:c r="K567" s="9" t="str"/>
      <x:c r="L567" t="str">
        <x:v>gemma4:e4b</x:v>
      </x:c>
    </x:row>
    <x:row r="568" ht="38" customHeight="1">
      <x:c r="A568" t="n">
        <x:v>3240</x:v>
      </x:c>
      <x:c r="B568" t="str">
        <x:v>1.2.826.0.1.3680043.8.498.69392348385274125385290015404144639002</x:v>
      </x:c>
      <x:c r="C568" t="str">
        <x:v>Spanish</x:v>
      </x:c>
      <x:c r="D568" t="str">
        <x:v>MCL</x:v>
      </x:c>
      <x:c r="E568" s="21" t="n">
        <x:v>0</x:v>
      </x:c>
      <x:c r="F568" s="21"/>
      <x:c r="G568" s="21" t="str">
        <x:f>IF(COUNT(F568)=0,"판정없음",IF(E568=F568,"일치",E568&amp;"→"&amp;F568))</x:f>
        <x:v>판정없음</x:v>
      </x:c>
      <x:c r="H568" t="str">
        <x:v>not_mentioned</x:v>
      </x:c>
      <x:c r="I568" s="9" t="str"/>
      <x:c r="J568" s="9" t="str">
        <x:v>True</x:v>
      </x:c>
      <x:c r="K568" s="9" t="str"/>
      <x:c r="L568" t="str">
        <x:v>gemma4:e4b</x:v>
      </x:c>
    </x:row>
    <x:row r="569" ht="38" customHeight="1">
      <x:c r="A569" t="n">
        <x:v>3240</x:v>
      </x:c>
      <x:c r="B569" t="str">
        <x:v>1.2.826.0.1.3680043.8.498.69392348385274125385290015404144639002</x:v>
      </x:c>
      <x:c r="C569" t="str">
        <x:v>Spanish</x:v>
      </x:c>
      <x:c r="D569" t="str">
        <x:v>Medial Meniscus</x:v>
      </x:c>
      <x:c r="E569" s="21" t="n">
        <x:v>0</x:v>
      </x:c>
      <x:c r="F569" s="21"/>
      <x:c r="G569" s="21" t="str">
        <x:f>IF(COUNT(F569)=0,"판정없음",IF(E569=F569,"일치",E569&amp;"→"&amp;F569))</x:f>
        <x:v>판정없음</x:v>
      </x:c>
      <x:c r="H569" t="str">
        <x:v>not_mentioned</x:v>
      </x:c>
      <x:c r="I569" s="9" t="str"/>
      <x:c r="J569" s="9" t="str">
        <x:v>True</x:v>
      </x:c>
      <x:c r="K569" s="9" t="str"/>
      <x:c r="L569" t="str">
        <x:v>gemma4:e4b</x:v>
      </x:c>
    </x:row>
    <x:row r="570" ht="38" customHeight="1">
      <x:c r="A570" t="n">
        <x:v>3240</x:v>
      </x:c>
      <x:c r="B570" t="str">
        <x:v>1.2.826.0.1.3680043.8.498.69392348385274125385290015404144639002</x:v>
      </x:c>
      <x:c r="C570" t="str">
        <x:v>Spanish</x:v>
      </x:c>
      <x:c r="D570" t="str">
        <x:v>Medial OA</x:v>
      </x:c>
      <x:c r="E570" s="21" t="n">
        <x:v>0</x:v>
      </x:c>
      <x:c r="F570" s="21"/>
      <x:c r="G570" s="21" t="str">
        <x:f>IF(COUNT(F570)=0,"판정없음",IF(E570=F570,"일치",E570&amp;"→"&amp;F570))</x:f>
        <x:v>판정없음</x:v>
      </x:c>
      <x:c r="H570" t="str">
        <x:v>not_mentioned</x:v>
      </x:c>
      <x:c r="I570" s="9" t="str"/>
      <x:c r="J570" s="9" t="str">
        <x:v>True</x:v>
      </x:c>
      <x:c r="K570" s="9" t="str"/>
      <x:c r="L570" t="str">
        <x:v>gemma4:e4b</x:v>
      </x:c>
    </x:row>
    <x:row r="571" ht="38" customHeight="1">
      <x:c r="A571" t="n">
        <x:v>3240</x:v>
      </x:c>
      <x:c r="B571" t="str">
        <x:v>1.2.826.0.1.3680043.8.498.69392348385274125385290015404144639002</x:v>
      </x:c>
      <x:c r="C571" t="str">
        <x:v>Spanish</x:v>
      </x:c>
      <x:c r="D571" t="str">
        <x:v>PF OA</x:v>
      </x:c>
      <x:c r="E571" s="21" t="n">
        <x:v>1</x:v>
      </x:c>
      <x:c r="F571" s="21"/>
      <x:c r="G571" s="21" t="str">
        <x:f>IF(COUNT(F571)=0,"판정없음",IF(E571=F571,"일치",E571&amp;"→"&amp;F571))</x:f>
        <x:v>판정없음</x:v>
      </x:c>
      <x:c r="H571" t="str">
        <x:v>uncertain_or_indirect</x:v>
      </x:c>
      <x:c r="I571" s="9" t="str">
        <x:v>Condropatía rotuliana</x:v>
      </x:c>
      <x:c r="J571" s="9" t="str">
        <x:v>True</x:v>
      </x:c>
      <x:c r="K571" s="9" t="str">
        <x:v>patellofemoral</x:v>
      </x:c>
      <x:c r="L571" t="str">
        <x:v>gemma4:e4b</x:v>
      </x:c>
    </x:row>
    <x:row r="572" ht="38" customHeight="1">
      <x:c r="A572" t="n">
        <x:v>3240</x:v>
      </x:c>
      <x:c r="B572" t="str">
        <x:v>1.2.826.0.1.3680043.8.498.69392348385274125385290015404144639002</x:v>
      </x:c>
      <x:c r="C572" t="str">
        <x:v>Spanish</x:v>
      </x:c>
      <x:c r="D572" t="str">
        <x:v>Synovitis</x:v>
      </x:c>
      <x:c r="E572" s="21" t="n">
        <x:v>0</x:v>
      </x:c>
      <x:c r="F572" s="21"/>
      <x:c r="G572" s="21" t="str">
        <x:f>IF(COUNT(F572)=0,"판정없음",IF(E572=F572,"일치",E572&amp;"→"&amp;F572))</x:f>
        <x:v>판정없음</x:v>
      </x:c>
      <x:c r="H572" t="str">
        <x:v>not_mentioned</x:v>
      </x:c>
      <x:c r="I572" s="9" t="str"/>
      <x:c r="J572" s="9" t="str">
        <x:v>True</x:v>
      </x:c>
      <x:c r="K572" s="9" t="str"/>
      <x:c r="L572" t="str">
        <x:v>gemma4:e4b</x:v>
      </x:c>
    </x:row>
    <x:row r="573" ht="38" customHeight="1">
      <x:c r="A573" t="n">
        <x:v>3376</x:v>
      </x:c>
      <x:c r="B573" t="str">
        <x:v>1.2.826.0.1.3680043.8.498.72853333220043794904856138561095171921</x:v>
      </x:c>
      <x:c r="C573" t="str">
        <x:v>English</x:v>
      </x:c>
      <x:c r="D573" t="str">
        <x:v>ACL</x:v>
      </x:c>
      <x:c r="E573" s="21" t="n">
        <x:v>0</x:v>
      </x:c>
      <x:c r="F573" s="21" t="n">
        <x:v>0</x:v>
      </x:c>
      <x:c r="G573" s="21" t="str">
        <x:f>IF(COUNT(F573)=0,"판정없음",IF(E573=F573,"일치",E573&amp;"→"&amp;F573))</x:f>
        <x:v>일치</x:v>
      </x:c>
      <x:c r="H573" t="str">
        <x:v>explicit_negative</x:v>
      </x:c>
      <x:c r="I573" s="9" t="str">
        <x:v>No tear</x:v>
      </x:c>
      <x:c r="J573" s="9" t="str">
        <x:v>True</x:v>
      </x:c>
      <x:c r="K573" s="9" t="str"/>
      <x:c r="L573" t="str">
        <x:v>gemma4:e4b</x:v>
      </x:c>
    </x:row>
    <x:row r="574" ht="38" customHeight="1">
      <x:c r="A574" t="n">
        <x:v>3376</x:v>
      </x:c>
      <x:c r="B574" t="str">
        <x:v>1.2.826.0.1.3680043.8.498.72853333220043794904856138561095171921</x:v>
      </x:c>
      <x:c r="C574" t="str">
        <x:v>English</x:v>
      </x:c>
      <x:c r="D574" t="str">
        <x:v>Baker's</x:v>
      </x:c>
      <x:c r="E574" s="21" t="n">
        <x:v>0</x:v>
      </x:c>
      <x:c r="F574" s="21" t="n">
        <x:v>0</x:v>
      </x:c>
      <x:c r="G574" s="21" t="str">
        <x:f>IF(COUNT(F574)=0,"판정없음",IF(E574=F574,"일치",E574&amp;"→"&amp;F574))</x:f>
        <x:v>일치</x:v>
      </x:c>
      <x:c r="H574" t="str">
        <x:v>explicit_negative</x:v>
      </x:c>
      <x:c r="I574" s="9" t="str">
        <x:v>No Baker's cyst</x:v>
      </x:c>
      <x:c r="J574" s="9" t="str">
        <x:v>True</x:v>
      </x:c>
      <x:c r="K574" s="9" t="str"/>
      <x:c r="L574" t="str">
        <x:v>gemma4:e4b</x:v>
      </x:c>
    </x:row>
    <x:row r="575" ht="38" customHeight="1">
      <x:c r="A575" t="n">
        <x:v>3376</x:v>
      </x:c>
      <x:c r="B575" t="str">
        <x:v>1.2.826.0.1.3680043.8.498.72853333220043794904856138561095171921</x:v>
      </x:c>
      <x:c r="C575" t="str">
        <x:v>English</x:v>
      </x:c>
      <x:c r="D575" t="str">
        <x:v>Contusion</x:v>
      </x:c>
      <x:c r="E575" s="21" t="n">
        <x:v>0</x:v>
      </x:c>
      <x:c r="F575" s="21" t="n">
        <x:v>1</x:v>
      </x:c>
      <x:c r="G575" s="21" t="str">
        <x:f>IF(COUNT(F575)=0,"판정없음",IF(E575=F575,"일치",E575&amp;"→"&amp;F575))</x:f>
        <x:v>0→1</x:v>
      </x:c>
      <x:c r="H575" t="str">
        <x:v>explicit_positive</x:v>
      </x:c>
      <x:c r="I575" s="9" t="str">
        <x:v>Small focus of bone marrow edema at the anteromedial tibial plateau, likely a contusion.</x:v>
      </x:c>
      <x:c r="J575" s="9" t="str">
        <x:v>True</x:v>
      </x:c>
      <x:c r="K575" s="9" t="str">
        <x:v>bone marrow edema at the anteromedial tibial plateau</x:v>
      </x:c>
      <x:c r="L575" t="str">
        <x:v>gemma4:e4b</x:v>
      </x:c>
    </x:row>
    <x:row r="576" ht="38" customHeight="1">
      <x:c r="A576" t="n">
        <x:v>3376</x:v>
      </x:c>
      <x:c r="B576" t="str">
        <x:v>1.2.826.0.1.3680043.8.498.72853333220043794904856138561095171921</x:v>
      </x:c>
      <x:c r="C576" t="str">
        <x:v>English</x:v>
      </x:c>
      <x:c r="D576" t="str">
        <x:v>Effusion</x:v>
      </x:c>
      <x:c r="E576" s="21" t="n">
        <x:v>0</x:v>
      </x:c>
      <x:c r="F576" s="21" t="n">
        <x:v>0</x:v>
      </x:c>
      <x:c r="G576" s="21" t="str">
        <x:f>IF(COUNT(F576)=0,"판정없음",IF(E576=F576,"일치",E576&amp;"→"&amp;F576))</x:f>
        <x:v>일치</x:v>
      </x:c>
      <x:c r="H576" t="str">
        <x:v>explicit_negative</x:v>
      </x:c>
      <x:c r="I576" s="9" t="str">
        <x:v>No joint effusion</x:v>
      </x:c>
      <x:c r="J576" s="9" t="str">
        <x:v>True</x:v>
      </x:c>
      <x:c r="K576" s="9" t="str"/>
      <x:c r="L576" t="str">
        <x:v>gemma4:e4b</x:v>
      </x:c>
    </x:row>
    <x:row r="577" ht="38" customHeight="1">
      <x:c r="A577" t="n">
        <x:v>3376</x:v>
      </x:c>
      <x:c r="B577" t="str">
        <x:v>1.2.826.0.1.3680043.8.498.72853333220043794904856138561095171921</x:v>
      </x:c>
      <x:c r="C577" t="str">
        <x:v>English</x:v>
      </x:c>
      <x:c r="D577" t="str">
        <x:v>Fracture</x:v>
      </x:c>
      <x:c r="E577" s="21" t="n">
        <x:v>0</x:v>
      </x:c>
      <x:c r="F577" s="21" t="n">
        <x:v>0</x:v>
      </x:c>
      <x:c r="G577" s="21" t="str">
        <x:f>IF(COUNT(F577)=0,"판정없음",IF(E577=F577,"일치",E577&amp;"→"&amp;F577))</x:f>
        <x:v>일치</x:v>
      </x:c>
      <x:c r="H577" t="str">
        <x:v>explicit_negative</x:v>
      </x:c>
      <x:c r="I577" s="9" t="str">
        <x:v>No acute fracture</x:v>
      </x:c>
      <x:c r="J577" s="9" t="str">
        <x:v>True</x:v>
      </x:c>
      <x:c r="K577" s="9" t="str"/>
      <x:c r="L577" t="str">
        <x:v>gemma4:e4b</x:v>
      </x:c>
    </x:row>
    <x:row r="578" ht="38" customHeight="1">
      <x:c r="A578" t="n">
        <x:v>3376</x:v>
      </x:c>
      <x:c r="B578" t="str">
        <x:v>1.2.826.0.1.3680043.8.498.72853333220043794904856138561095171921</x:v>
      </x:c>
      <x:c r="C578" t="str">
        <x:v>English</x:v>
      </x:c>
      <x:c r="D578" t="str">
        <x:v>Lateral Meniscus</x:v>
      </x:c>
      <x:c r="E578" s="21" t="n">
        <x:v>0</x:v>
      </x:c>
      <x:c r="F578" s="21" t="n">
        <x:v>0</x:v>
      </x:c>
      <x:c r="G578" s="21" t="str">
        <x:f>IF(COUNT(F578)=0,"판정없음",IF(E578=F578,"일치",E578&amp;"→"&amp;F578))</x:f>
        <x:v>일치</x:v>
      </x:c>
      <x:c r="H578" t="str">
        <x:v>explicit_negative</x:v>
      </x:c>
      <x:c r="I578" s="9" t="str">
        <x:v>No tear</x:v>
      </x:c>
      <x:c r="J578" s="9" t="str">
        <x:v>True</x:v>
      </x:c>
      <x:c r="K578" s="9" t="str"/>
      <x:c r="L578" t="str">
        <x:v>gemma4:e4b</x:v>
      </x:c>
    </x:row>
    <x:row r="579" ht="38" customHeight="1">
      <x:c r="A579" t="n">
        <x:v>3376</x:v>
      </x:c>
      <x:c r="B579" t="str">
        <x:v>1.2.826.0.1.3680043.8.498.72853333220043794904856138561095171921</x:v>
      </x:c>
      <x:c r="C579" t="str">
        <x:v>English</x:v>
      </x:c>
      <x:c r="D579" t="str">
        <x:v>Lateral OA</x:v>
      </x:c>
      <x:c r="E579" s="21" t="n">
        <x:v>0</x:v>
      </x:c>
      <x:c r="F579" s="21"/>
      <x:c r="G579" s="21" t="str">
        <x:f>IF(COUNT(F579)=0,"판정없음",IF(E579=F579,"일치",E579&amp;"→"&amp;F579))</x:f>
        <x:v>판정없음</x:v>
      </x:c>
      <x:c r="H579" t="str">
        <x:v>not_mentioned</x:v>
      </x:c>
      <x:c r="I579" s="9" t="str"/>
      <x:c r="J579" s="9" t="str">
        <x:v>True</x:v>
      </x:c>
      <x:c r="K579" s="9" t="str"/>
      <x:c r="L579" t="str">
        <x:v>gemma4:e4b</x:v>
      </x:c>
    </x:row>
    <x:row r="580" ht="38" customHeight="1">
      <x:c r="A580" t="n">
        <x:v>3376</x:v>
      </x:c>
      <x:c r="B580" t="str">
        <x:v>1.2.826.0.1.3680043.8.498.72853333220043794904856138561095171921</x:v>
      </x:c>
      <x:c r="C580" t="str">
        <x:v>English</x:v>
      </x:c>
      <x:c r="D580" t="str">
        <x:v>MCL</x:v>
      </x:c>
      <x:c r="E580" s="21" t="n">
        <x:v>1</x:v>
      </x:c>
      <x:c r="F580" s="21" t="n">
        <x:v>1</x:v>
      </x:c>
      <x:c r="G580" s="21" t="str">
        <x:f>IF(COUNT(F580)=0,"판정없음",IF(E580=F580,"일치",E580&amp;"→"&amp;F580))</x:f>
        <x:v>일치</x:v>
      </x:c>
      <x:c r="H580" t="str">
        <x:v>explicit_positive</x:v>
      </x:c>
      <x:c r="I580" s="9" t="str">
        <x:v>Grade 2 medial collateral ligament (MCL) sprain.</x:v>
      </x:c>
      <x:c r="J580" s="9" t="str">
        <x:v>True</x:v>
      </x:c>
      <x:c r="K580" s="9" t="str"/>
      <x:c r="L580" t="str">
        <x:v>gemma4:e4b</x:v>
      </x:c>
    </x:row>
    <x:row r="581" ht="38" customHeight="1">
      <x:c r="A581" t="n">
        <x:v>3376</x:v>
      </x:c>
      <x:c r="B581" t="str">
        <x:v>1.2.826.0.1.3680043.8.498.72853333220043794904856138561095171921</x:v>
      </x:c>
      <x:c r="C581" t="str">
        <x:v>English</x:v>
      </x:c>
      <x:c r="D581" t="str">
        <x:v>Medial Meniscus</x:v>
      </x:c>
      <x:c r="E581" s="21" t="n">
        <x:v>0</x:v>
      </x:c>
      <x:c r="F581" s="21" t="n">
        <x:v>0</x:v>
      </x:c>
      <x:c r="G581" s="21" t="str">
        <x:f>IF(COUNT(F581)=0,"판정없음",IF(E581=F581,"일치",E581&amp;"→"&amp;F581))</x:f>
        <x:v>일치</x:v>
      </x:c>
      <x:c r="H581" t="str">
        <x:v>explicit_negative</x:v>
      </x:c>
      <x:c r="I581" s="9" t="str">
        <x:v>No tear</x:v>
      </x:c>
      <x:c r="J581" s="9" t="str">
        <x:v>True</x:v>
      </x:c>
      <x:c r="K581" s="9" t="str"/>
      <x:c r="L581" t="str">
        <x:v>gemma4:e4b</x:v>
      </x:c>
    </x:row>
    <x:row r="582" ht="38" customHeight="1">
      <x:c r="A582" t="n">
        <x:v>3376</x:v>
      </x:c>
      <x:c r="B582" t="str">
        <x:v>1.2.826.0.1.3680043.8.498.72853333220043794904856138561095171921</x:v>
      </x:c>
      <x:c r="C582" t="str">
        <x:v>English</x:v>
      </x:c>
      <x:c r="D582" t="str">
        <x:v>Medial OA</x:v>
      </x:c>
      <x:c r="E582" s="21" t="n">
        <x:v>0</x:v>
      </x:c>
      <x:c r="F582" s="21"/>
      <x:c r="G582" s="21" t="str">
        <x:f>IF(COUNT(F582)=0,"판정없음",IF(E582=F582,"일치",E582&amp;"→"&amp;F582))</x:f>
        <x:v>판정없음</x:v>
      </x:c>
      <x:c r="H582" t="str">
        <x:v>not_mentioned</x:v>
      </x:c>
      <x:c r="I582" s="9" t="str"/>
      <x:c r="J582" s="9" t="str">
        <x:v>True</x:v>
      </x:c>
      <x:c r="K582" s="9" t="str"/>
      <x:c r="L582" t="str">
        <x:v>gemma4:e4b</x:v>
      </x:c>
    </x:row>
    <x:row r="583" ht="38" customHeight="1">
      <x:c r="A583" t="n">
        <x:v>3376</x:v>
      </x:c>
      <x:c r="B583" t="str">
        <x:v>1.2.826.0.1.3680043.8.498.72853333220043794904856138561095171921</x:v>
      </x:c>
      <x:c r="C583" t="str">
        <x:v>English</x:v>
      </x:c>
      <x:c r="D583" t="str">
        <x:v>PF OA</x:v>
      </x:c>
      <x:c r="E583" s="21" t="n">
        <x:v>0</x:v>
      </x:c>
      <x:c r="F583" s="21" t="n">
        <x:v>1</x:v>
      </x:c>
      <x:c r="G583" s="21" t="str">
        <x:f>IF(COUNT(F583)=0,"판정없음",IF(E583=F583,"일치",E583&amp;"→"&amp;F583))</x:f>
        <x:v>0→1</x:v>
      </x:c>
      <x:c r="H583" t="str">
        <x:v>explicit_positive</x:v>
      </x:c>
      <x:c r="I583" s="9" t="str">
        <x:v>Mild patellofemoral compartment chondrosis.</x:v>
      </x:c>
      <x:c r="J583" s="9" t="str">
        <x:v>True</x:v>
      </x:c>
      <x:c r="K583" s="9" t="str">
        <x:v>Low-grade articular cartilage loss at the lateral and medial patellar facets.</x:v>
      </x:c>
      <x:c r="L583" t="str">
        <x:v>gemma4:e4b</x:v>
      </x:c>
    </x:row>
    <x:row r="584" ht="38" customHeight="1">
      <x:c r="A584" t="n">
        <x:v>3376</x:v>
      </x:c>
      <x:c r="B584" t="str">
        <x:v>1.2.826.0.1.3680043.8.498.72853333220043794904856138561095171921</x:v>
      </x:c>
      <x:c r="C584" t="str">
        <x:v>English</x:v>
      </x:c>
      <x:c r="D584" t="str">
        <x:v>Synovitis</x:v>
      </x:c>
      <x:c r="E584" s="21" t="n">
        <x:v>0</x:v>
      </x:c>
      <x:c r="F584" s="21"/>
      <x:c r="G584" s="21" t="str">
        <x:f>IF(COUNT(F584)=0,"판정없음",IF(E584=F584,"일치",E584&amp;"→"&amp;F584))</x:f>
        <x:v>판정없음</x:v>
      </x:c>
      <x:c r="H584" t="str">
        <x:v>not_mentioned</x:v>
      </x:c>
      <x:c r="I584" s="9" t="str"/>
      <x:c r="J584" s="9" t="str">
        <x:v>True</x:v>
      </x:c>
      <x:c r="K584" s="9" t="str"/>
      <x:c r="L584" t="str">
        <x:v>gemma4:e4b</x:v>
      </x:c>
    </x:row>
    <x:row r="585" ht="38" customHeight="1">
      <x:c r="A585" t="n">
        <x:v>3412</x:v>
      </x:c>
      <x:c r="B585" t="str">
        <x:v>1.2.826.0.1.3680043.8.498.73527530686853911124431549317032662220</x:v>
      </x:c>
      <x:c r="C585" t="str">
        <x:v>English</x:v>
      </x:c>
      <x:c r="D585" t="str">
        <x:v>ACL</x:v>
      </x:c>
      <x:c r="E585" s="21" t="n">
        <x:v>1</x:v>
      </x:c>
      <x:c r="F585" s="21"/>
      <x:c r="G585" s="21" t="str">
        <x:f>IF(COUNT(F585)=0,"판정없음",IF(E585=F585,"일치",E585&amp;"→"&amp;F585))</x:f>
        <x:v>판정없음</x:v>
      </x:c>
      <x:c r="H585" t="str">
        <x:v>uncertain_or_indirect</x:v>
      </x:c>
      <x:c r="I585" s="9" t="str">
        <x:v>The contour of ACL is not in a straight line and increase signal intensity inside on F/S T2WI, in favor of tear, major at proximal portion.</x:v>
      </x:c>
      <x:c r="J585" s="9" t="str">
        <x:v>True</x:v>
      </x:c>
      <x:c r="K585" s="9" t="str"/>
      <x:c r="L585" t="str">
        <x:v>gemma4:e4b</x:v>
      </x:c>
    </x:row>
    <x:row r="586" ht="38" customHeight="1">
      <x:c r="A586" t="n">
        <x:v>3412</x:v>
      </x:c>
      <x:c r="B586" t="str">
        <x:v>1.2.826.0.1.3680043.8.498.73527530686853911124431549317032662220</x:v>
      </x:c>
      <x:c r="C586" t="str">
        <x:v>English</x:v>
      </x:c>
      <x:c r="D586" t="str">
        <x:v>Baker's</x:v>
      </x:c>
      <x:c r="E586" s="21" t="n">
        <x:v>0</x:v>
      </x:c>
      <x:c r="F586" s="21"/>
      <x:c r="G586" s="21" t="str">
        <x:f>IF(COUNT(F586)=0,"판정없음",IF(E586=F586,"일치",E586&amp;"→"&amp;F586))</x:f>
        <x:v>판정없음</x:v>
      </x:c>
      <x:c r="H586" t="str">
        <x:v>not_mentioned</x:v>
      </x:c>
      <x:c r="I586" s="9" t="str"/>
      <x:c r="J586" s="9" t="str">
        <x:v>True</x:v>
      </x:c>
      <x:c r="K586" s="9" t="str"/>
      <x:c r="L586" t="str">
        <x:v>gemma4:e4b</x:v>
      </x:c>
    </x:row>
    <x:row r="587" ht="38" customHeight="1">
      <x:c r="A587" t="n">
        <x:v>3412</x:v>
      </x:c>
      <x:c r="B587" t="str">
        <x:v>1.2.826.0.1.3680043.8.498.73527530686853911124431549317032662220</x:v>
      </x:c>
      <x:c r="C587" t="str">
        <x:v>English</x:v>
      </x:c>
      <x:c r="D587" t="str">
        <x:v>Contusion</x:v>
      </x:c>
      <x:c r="E587" s="21" t="n">
        <x:v>1</x:v>
      </x:c>
      <x:c r="F587" s="21" t="n">
        <x:v>1</x:v>
      </x:c>
      <x:c r="G587" s="21" t="str">
        <x:f>IF(COUNT(F587)=0,"판정없음",IF(E587=F587,"일치",E587&amp;"→"&amp;F587))</x:f>
        <x:v>일치</x:v>
      </x:c>
      <x:c r="H587" t="str">
        <x:v>explicit_positive</x:v>
      </x:c>
      <x:c r="I587" s="9" t="str">
        <x:v>Abnormal signal intensity is noted in proximal tibia and distal femur, which shows low signal intensity on T1WI and high signal intensity on T2WI, in favor of bone contusion, more prominent at lateral side.</x:v>
      </x:c>
      <x:c r="J587" s="9" t="str">
        <x:v>True</x:v>
      </x:c>
      <x:c r="K587" s="9" t="str">
        <x:v>bone contusion</x:v>
      </x:c>
      <x:c r="L587" t="str">
        <x:v>gemma4:e4b</x:v>
      </x:c>
    </x:row>
    <x:row r="588" ht="38" customHeight="1">
      <x:c r="A588" t="n">
        <x:v>3412</x:v>
      </x:c>
      <x:c r="B588" t="str">
        <x:v>1.2.826.0.1.3680043.8.498.73527530686853911124431549317032662220</x:v>
      </x:c>
      <x:c r="C588" t="str">
        <x:v>English</x:v>
      </x:c>
      <x:c r="D588" t="str">
        <x:v>Effusion</x:v>
      </x:c>
      <x:c r="E588" s="21" t="n">
        <x:v>1</x:v>
      </x:c>
      <x:c r="F588" s="21" t="n">
        <x:v>1</x:v>
      </x:c>
      <x:c r="G588" s="21" t="str">
        <x:f>IF(COUNT(F588)=0,"판정없음",IF(E588=F588,"일치",E588&amp;"→"&amp;F588))</x:f>
        <x:v>일치</x:v>
      </x:c>
      <x:c r="H588" t="str">
        <x:v>explicit_positive</x:v>
      </x:c>
      <x:c r="I588" s="9" t="str">
        <x:v>Moderate joint effsuion</x:v>
      </x:c>
      <x:c r="J588" s="9" t="str">
        <x:v>True</x:v>
      </x:c>
      <x:c r="K588" s="9" t="str"/>
      <x:c r="L588" t="str">
        <x:v>gemma4:e4b</x:v>
      </x:c>
    </x:row>
    <x:row r="589" ht="38" customHeight="1">
      <x:c r="A589" t="n">
        <x:v>3412</x:v>
      </x:c>
      <x:c r="B589" t="str">
        <x:v>1.2.826.0.1.3680043.8.498.73527530686853911124431549317032662220</x:v>
      </x:c>
      <x:c r="C589" t="str">
        <x:v>English</x:v>
      </x:c>
      <x:c r="D589" t="str">
        <x:v>Fracture</x:v>
      </x:c>
      <x:c r="E589" s="21" t="n">
        <x:v>1</x:v>
      </x:c>
      <x:c r="F589" s="21"/>
      <x:c r="G589" s="21" t="str">
        <x:f>IF(COUNT(F589)=0,"판정없음",IF(E589=F589,"일치",E589&amp;"→"&amp;F589))</x:f>
        <x:v>판정없음</x:v>
      </x:c>
      <x:c r="H589" t="str">
        <x:v>uncertain_or_indirect</x:v>
      </x:c>
      <x:c r="I589" s="9" t="str">
        <x:v>In favor of subchondral fracture of lateral femoral condyle.</x:v>
      </x:c>
      <x:c r="J589" s="9" t="str">
        <x:v>True</x:v>
      </x:c>
      <x:c r="K589" s="9" t="str">
        <x:v>subchondral fracture</x:v>
      </x:c>
      <x:c r="L589" t="str">
        <x:v>gemma4:e4b</x:v>
      </x:c>
    </x:row>
    <x:row r="590" ht="38" customHeight="1">
      <x:c r="A590" t="n">
        <x:v>3412</x:v>
      </x:c>
      <x:c r="B590" t="str">
        <x:v>1.2.826.0.1.3680043.8.498.73527530686853911124431549317032662220</x:v>
      </x:c>
      <x:c r="C590" t="str">
        <x:v>English</x:v>
      </x:c>
      <x:c r="D590" t="str">
        <x:v>Lateral Meniscus</x:v>
      </x:c>
      <x:c r="E590" s="21" t="n">
        <x:v>0</x:v>
      </x:c>
      <x:c r="F590" s="21"/>
      <x:c r="G590" s="21" t="str">
        <x:f>IF(COUNT(F590)=0,"판정없음",IF(E590=F590,"일치",E590&amp;"→"&amp;F590))</x:f>
        <x:v>판정없음</x:v>
      </x:c>
      <x:c r="H590" t="str">
        <x:v>not_mentioned</x:v>
      </x:c>
      <x:c r="I590" s="9" t="str"/>
      <x:c r="J590" s="9" t="str">
        <x:v>True</x:v>
      </x:c>
      <x:c r="K590" s="9" t="str"/>
      <x:c r="L590" t="str">
        <x:v>gemma4:e4b</x:v>
      </x:c>
    </x:row>
    <x:row r="591" ht="38" customHeight="1">
      <x:c r="A591" t="n">
        <x:v>3412</x:v>
      </x:c>
      <x:c r="B591" t="str">
        <x:v>1.2.826.0.1.3680043.8.498.73527530686853911124431549317032662220</x:v>
      </x:c>
      <x:c r="C591" t="str">
        <x:v>English</x:v>
      </x:c>
      <x:c r="D591" t="str">
        <x:v>Lateral OA</x:v>
      </x:c>
      <x:c r="E591" s="21" t="n">
        <x:v>0</x:v>
      </x:c>
      <x:c r="F591" s="21"/>
      <x:c r="G591" s="21" t="str">
        <x:f>IF(COUNT(F591)=0,"판정없음",IF(E591=F591,"일치",E591&amp;"→"&amp;F591))</x:f>
        <x:v>판정없음</x:v>
      </x:c>
      <x:c r="H591" t="str">
        <x:v>not_mentioned</x:v>
      </x:c>
      <x:c r="I591" s="9" t="str"/>
      <x:c r="J591" s="9" t="str">
        <x:v>True</x:v>
      </x:c>
      <x:c r="K591" s="9" t="str"/>
      <x:c r="L591" t="str">
        <x:v>gemma4:e4b</x:v>
      </x:c>
    </x:row>
    <x:row r="592" ht="38" customHeight="1">
      <x:c r="A592" t="n">
        <x:v>3412</x:v>
      </x:c>
      <x:c r="B592" t="str">
        <x:v>1.2.826.0.1.3680043.8.498.73527530686853911124431549317032662220</x:v>
      </x:c>
      <x:c r="C592" t="str">
        <x:v>English</x:v>
      </x:c>
      <x:c r="D592" t="str">
        <x:v>MCL</x:v>
      </x:c>
      <x:c r="E592" s="21" t="n">
        <x:v>0</x:v>
      </x:c>
      <x:c r="F592" s="21" t="n">
        <x:v>0</x:v>
      </x:c>
      <x:c r="G592" s="21" t="str">
        <x:f>IF(COUNT(F592)=0,"판정없음",IF(E592=F592,"일치",E592&amp;"→"&amp;F592))</x:f>
        <x:v>일치</x:v>
      </x:c>
      <x:c r="H592" t="str">
        <x:v>explicit_negative</x:v>
      </x:c>
      <x:c r="I592" s="9" t="str">
        <x:v>Both medial &amp; lateral collateral ligaments appear to be within normal.</x:v>
      </x:c>
      <x:c r="J592" s="9" t="str">
        <x:v>True</x:v>
      </x:c>
      <x:c r="K592" s="9" t="str"/>
      <x:c r="L592" t="str">
        <x:v>gemma4:e4b</x:v>
      </x:c>
    </x:row>
    <x:row r="593" ht="38" customHeight="1">
      <x:c r="A593" t="n">
        <x:v>3412</x:v>
      </x:c>
      <x:c r="B593" t="str">
        <x:v>1.2.826.0.1.3680043.8.498.73527530686853911124431549317032662220</x:v>
      </x:c>
      <x:c r="C593" t="str">
        <x:v>English</x:v>
      </x:c>
      <x:c r="D593" t="str">
        <x:v>Medial Meniscus</x:v>
      </x:c>
      <x:c r="E593" s="21" t="n">
        <x:v>0</x:v>
      </x:c>
      <x:c r="F593" s="21"/>
      <x:c r="G593" s="21" t="str">
        <x:f>IF(COUNT(F593)=0,"판정없음",IF(E593=F593,"일치",E593&amp;"→"&amp;F593))</x:f>
        <x:v>판정없음</x:v>
      </x:c>
      <x:c r="H593" t="str">
        <x:v>uncertain_or_indirect</x:v>
      </x:c>
      <x:c r="I593" s="9" t="str">
        <x:v>Linear signal intensity in posterior horn of medial meniscus, and increased signal of meniscocapsular junction, R/O Ramp lesion or peripheral longitudinal tear of posterior horn of medial meniscus.</x:v>
      </x:c>
      <x:c r="J593" s="9" t="str">
        <x:v>True</x:v>
      </x:c>
      <x:c r="K593" s="9" t="str"/>
      <x:c r="L593" t="str">
        <x:v>gemma4:e4b</x:v>
      </x:c>
    </x:row>
    <x:row r="594" ht="38" customHeight="1">
      <x:c r="A594" t="n">
        <x:v>3412</x:v>
      </x:c>
      <x:c r="B594" t="str">
        <x:v>1.2.826.0.1.3680043.8.498.73527530686853911124431549317032662220</x:v>
      </x:c>
      <x:c r="C594" t="str">
        <x:v>English</x:v>
      </x:c>
      <x:c r="D594" t="str">
        <x:v>Medial OA</x:v>
      </x:c>
      <x:c r="E594" s="21" t="n">
        <x:v>0</x:v>
      </x:c>
      <x:c r="F594" s="21"/>
      <x:c r="G594" s="21" t="str">
        <x:f>IF(COUNT(F594)=0,"판정없음",IF(E594=F594,"일치",E594&amp;"→"&amp;F594))</x:f>
        <x:v>판정없음</x:v>
      </x:c>
      <x:c r="H594" t="str">
        <x:v>not_mentioned</x:v>
      </x:c>
      <x:c r="I594" s="9" t="str"/>
      <x:c r="J594" s="9" t="str">
        <x:v>True</x:v>
      </x:c>
      <x:c r="K594" s="9" t="str"/>
      <x:c r="L594" t="str">
        <x:v>gemma4:e4b</x:v>
      </x:c>
    </x:row>
    <x:row r="595" ht="38" customHeight="1">
      <x:c r="A595" t="n">
        <x:v>3412</x:v>
      </x:c>
      <x:c r="B595" t="str">
        <x:v>1.2.826.0.1.3680043.8.498.73527530686853911124431549317032662220</x:v>
      </x:c>
      <x:c r="C595" t="str">
        <x:v>English</x:v>
      </x:c>
      <x:c r="D595" t="str">
        <x:v>PF OA</x:v>
      </x:c>
      <x:c r="E595" s="21" t="n">
        <x:v>1</x:v>
      </x:c>
      <x:c r="F595" s="21" t="n">
        <x:v>1</x:v>
      </x:c>
      <x:c r="G595" s="21" t="str">
        <x:f>IF(COUNT(F595)=0,"판정없음",IF(E595=F595,"일치",E595&amp;"→"&amp;F595))</x:f>
        <x:v>일치</x:v>
      </x:c>
      <x:c r="H595" t="str">
        <x:v>explicit_positive</x:v>
      </x:c>
      <x:c r="I595" s="9" t="str">
        <x:v>Focal wearing of articular cartilage of femoral trochelam reflecting grade 3-4 chondromalacia</x:v>
      </x:c>
      <x:c r="J595" s="9" t="str">
        <x:v>True</x:v>
      </x:c>
      <x:c r="K595" s="9" t="str">
        <x:v>femoral trochlea</x:v>
      </x:c>
      <x:c r="L595" t="str">
        <x:v>gemma4:e4b</x:v>
      </x:c>
    </x:row>
    <x:row r="596" ht="38" customHeight="1">
      <x:c r="A596" t="n">
        <x:v>3412</x:v>
      </x:c>
      <x:c r="B596" t="str">
        <x:v>1.2.826.0.1.3680043.8.498.73527530686853911124431549317032662220</x:v>
      </x:c>
      <x:c r="C596" t="str">
        <x:v>English</x:v>
      </x:c>
      <x:c r="D596" t="str">
        <x:v>Synovitis</x:v>
      </x:c>
      <x:c r="E596" s="21" t="n">
        <x:v>0</x:v>
      </x:c>
      <x:c r="F596" s="21" t="n">
        <x:v>1</x:v>
      </x:c>
      <x:c r="G596" s="21" t="str">
        <x:f>IF(COUNT(F596)=0,"판정없음",IF(E596=F596,"일치",E596&amp;"→"&amp;F596))</x:f>
        <x:v>0→1</x:v>
      </x:c>
      <x:c r="H596" t="str">
        <x:v>explicit_positive</x:v>
      </x:c>
      <x:c r="I596" s="9" t="str">
        <x:v>hypertrophy of the synovium, indicative of synovitis.</x:v>
      </x:c>
      <x:c r="J596" s="9" t="str">
        <x:v>True</x:v>
      </x:c>
      <x:c r="K596" s="9" t="str"/>
      <x:c r="L596" t="str">
        <x:v>gemma4:e4b</x:v>
      </x:c>
    </x:row>
    <x:row r="597" ht="38" customHeight="1">
      <x:c r="A597" t="n">
        <x:v>3425</x:v>
      </x:c>
      <x:c r="B597" t="str">
        <x:v>1.2.826.0.1.3680043.8.498.73926443729786165628848843707532839995</x:v>
      </x:c>
      <x:c r="C597" t="str">
        <x:v>German</x:v>
      </x:c>
      <x:c r="D597" t="str">
        <x:v>ACL</x:v>
      </x:c>
      <x:c r="E597" s="21" t="n">
        <x:v>0</x:v>
      </x:c>
      <x:c r="F597" s="21"/>
      <x:c r="G597" s="21" t="str">
        <x:f>IF(COUNT(F597)=0,"판정없음",IF(E597=F597,"일치",E597&amp;"→"&amp;F597))</x:f>
        <x:v>판정없음</x:v>
      </x:c>
      <x:c r="H597" t="str">
        <x:v>not_mentioned</x:v>
      </x:c>
      <x:c r="I597" s="9" t="str"/>
      <x:c r="J597" s="9" t="str">
        <x:v>True</x:v>
      </x:c>
      <x:c r="K597" s="9" t="str"/>
      <x:c r="L597" t="str">
        <x:v>gemma4:e4b</x:v>
      </x:c>
    </x:row>
    <x:row r="598" ht="38" customHeight="1">
      <x:c r="A598" t="n">
        <x:v>3425</x:v>
      </x:c>
      <x:c r="B598" t="str">
        <x:v>1.2.826.0.1.3680043.8.498.73926443729786165628848843707532839995</x:v>
      </x:c>
      <x:c r="C598" t="str">
        <x:v>German</x:v>
      </x:c>
      <x:c r="D598" t="str">
        <x:v>Baker's</x:v>
      </x:c>
      <x:c r="E598" s="21" t="n">
        <x:v>0</x:v>
      </x:c>
      <x:c r="F598" s="21" t="n">
        <x:v>1</x:v>
      </x:c>
      <x:c r="G598" s="21" t="str">
        <x:f>IF(COUNT(F598)=0,"판정없음",IF(E598=F598,"일치",E598&amp;"→"&amp;F598))</x:f>
        <x:v>0→1</x:v>
      </x:c>
      <x:c r="H598" t="str">
        <x:v>explicit_positive</x:v>
      </x:c>
      <x:c r="I598" s="9" t="str">
        <x:v>Baker-Zyste; diese bis 2 x 1,5 x CC 3,5 cm Ausdehnung</x:v>
      </x:c>
      <x:c r="J598" s="9" t="str">
        <x:v>True</x:v>
      </x:c>
      <x:c r="K598" s="9" t="str"/>
      <x:c r="L598" t="str">
        <x:v>gemma4:e4b</x:v>
      </x:c>
    </x:row>
    <x:row r="599" ht="38" customHeight="1">
      <x:c r="A599" t="n">
        <x:v>3425</x:v>
      </x:c>
      <x:c r="B599" t="str">
        <x:v>1.2.826.0.1.3680043.8.498.73926443729786165628848843707532839995</x:v>
      </x:c>
      <x:c r="C599" t="str">
        <x:v>German</x:v>
      </x:c>
      <x:c r="D599" t="str">
        <x:v>Contusion</x:v>
      </x:c>
      <x:c r="E599" s="21" t="n">
        <x:v>0</x:v>
      </x:c>
      <x:c r="F599" s="21"/>
      <x:c r="G599" s="21" t="str">
        <x:f>IF(COUNT(F599)=0,"판정없음",IF(E599=F599,"일치",E599&amp;"→"&amp;F599))</x:f>
        <x:v>판정없음</x:v>
      </x:c>
      <x:c r="H599" t="str">
        <x:v>not_mentioned</x:v>
      </x:c>
      <x:c r="I599" s="9" t="str"/>
      <x:c r="J599" s="9" t="str">
        <x:v>True</x:v>
      </x:c>
      <x:c r="K599" s="9" t="str"/>
      <x:c r="L599" t="str">
        <x:v>gemma4:e4b</x:v>
      </x:c>
    </x:row>
    <x:row r="600" ht="38" customHeight="1">
      <x:c r="A600" t="n">
        <x:v>3425</x:v>
      </x:c>
      <x:c r="B600" t="str">
        <x:v>1.2.826.0.1.3680043.8.498.73926443729786165628848843707532839995</x:v>
      </x:c>
      <x:c r="C600" t="str">
        <x:v>German</x:v>
      </x:c>
      <x:c r="D600" t="str">
        <x:v>Effusion</x:v>
      </x:c>
      <x:c r="E600" s="21" t="n">
        <x:v>1</x:v>
      </x:c>
      <x:c r="F600" s="21" t="n">
        <x:v>1</x:v>
      </x:c>
      <x:c r="G600" s="21" t="str">
        <x:f>IF(COUNT(F600)=0,"판정없음",IF(E600=F600,"일치",E600&amp;"→"&amp;F600))</x:f>
        <x:v>일치</x:v>
      </x:c>
      <x:c r="H600" t="str">
        <x:v>explicit_positive</x:v>
      </x:c>
      <x:c r="I600" s="9" t="str">
        <x:v>Geringer Gelenkerguss</x:v>
      </x:c>
      <x:c r="J600" s="9" t="str">
        <x:v>True</x:v>
      </x:c>
      <x:c r="K600" s="9" t="str"/>
      <x:c r="L600" t="str">
        <x:v>gemma4:e4b</x:v>
      </x:c>
    </x:row>
    <x:row r="601" ht="38" customHeight="1">
      <x:c r="A601" t="n">
        <x:v>3425</x:v>
      </x:c>
      <x:c r="B601" t="str">
        <x:v>1.2.826.0.1.3680043.8.498.73926443729786165628848843707532839995</x:v>
      </x:c>
      <x:c r="C601" t="str">
        <x:v>German</x:v>
      </x:c>
      <x:c r="D601" t="str">
        <x:v>Fracture</x:v>
      </x:c>
      <x:c r="E601" s="21" t="n">
        <x:v>0</x:v>
      </x:c>
      <x:c r="F601" s="21"/>
      <x:c r="G601" s="21" t="str">
        <x:f>IF(COUNT(F601)=0,"판정없음",IF(E601=F601,"일치",E601&amp;"→"&amp;F601))</x:f>
        <x:v>판정없음</x:v>
      </x:c>
      <x:c r="H601" t="str">
        <x:v>not_mentioned</x:v>
      </x:c>
      <x:c r="I601" s="9" t="str"/>
      <x:c r="J601" s="9" t="str">
        <x:v>True</x:v>
      </x:c>
      <x:c r="K601" s="9" t="str"/>
      <x:c r="L601" t="str">
        <x:v>gemma4:e4b</x:v>
      </x:c>
    </x:row>
    <x:row r="602" ht="38" customHeight="1">
      <x:c r="A602" t="n">
        <x:v>3425</x:v>
      </x:c>
      <x:c r="B602" t="str">
        <x:v>1.2.826.0.1.3680043.8.498.73926443729786165628848843707532839995</x:v>
      </x:c>
      <x:c r="C602" t="str">
        <x:v>German</x:v>
      </x:c>
      <x:c r="D602" t="str">
        <x:v>Lateral Meniscus</x:v>
      </x:c>
      <x:c r="E602" s="21" t="n">
        <x:v>0</x:v>
      </x:c>
      <x:c r="F602" s="21"/>
      <x:c r="G602" s="21" t="str">
        <x:f>IF(COUNT(F602)=0,"판정없음",IF(E602=F602,"일치",E602&amp;"→"&amp;F602))</x:f>
        <x:v>판정없음</x:v>
      </x:c>
      <x:c r="H602" t="str">
        <x:v>not_mentioned</x:v>
      </x:c>
      <x:c r="I602" s="9" t="str"/>
      <x:c r="J602" s="9" t="str">
        <x:v>True</x:v>
      </x:c>
      <x:c r="K602" s="9" t="str"/>
      <x:c r="L602" t="str">
        <x:v>gemma4:e4b</x:v>
      </x:c>
    </x:row>
    <x:row r="603" ht="38" customHeight="1">
      <x:c r="A603" t="n">
        <x:v>3425</x:v>
      </x:c>
      <x:c r="B603" t="str">
        <x:v>1.2.826.0.1.3680043.8.498.73926443729786165628848843707532839995</x:v>
      </x:c>
      <x:c r="C603" t="str">
        <x:v>German</x:v>
      </x:c>
      <x:c r="D603" t="str">
        <x:v>Lateral OA</x:v>
      </x:c>
      <x:c r="E603" s="21" t="n">
        <x:v>0</x:v>
      </x:c>
      <x:c r="F603" s="21"/>
      <x:c r="G603" s="21" t="str">
        <x:f>IF(COUNT(F603)=0,"판정없음",IF(E603=F603,"일치",E603&amp;"→"&amp;F603))</x:f>
        <x:v>판정없음</x:v>
      </x:c>
      <x:c r="H603" t="str">
        <x:v>not_mentioned</x:v>
      </x:c>
      <x:c r="I603" s="9" t="str"/>
      <x:c r="J603" s="9" t="str">
        <x:v>True</x:v>
      </x:c>
      <x:c r="K603" s="9" t="str"/>
      <x:c r="L603" t="str">
        <x:v>gemma4:e4b</x:v>
      </x:c>
    </x:row>
    <x:row r="604" ht="38" customHeight="1">
      <x:c r="A604" t="n">
        <x:v>3425</x:v>
      </x:c>
      <x:c r="B604" t="str">
        <x:v>1.2.826.0.1.3680043.8.498.73926443729786165628848843707532839995</x:v>
      </x:c>
      <x:c r="C604" t="str">
        <x:v>German</x:v>
      </x:c>
      <x:c r="D604" t="str">
        <x:v>MCL</x:v>
      </x:c>
      <x:c r="E604" s="21" t="n">
        <x:v>0</x:v>
      </x:c>
      <x:c r="F604" s="21" t="n">
        <x:v>0</x:v>
      </x:c>
      <x:c r="G604" s="21" t="str">
        <x:f>IF(COUNT(F604)=0,"판정없음",IF(E604=F604,"일치",E604&amp;"→"&amp;F604))</x:f>
        <x:v>일치</x:v>
      </x:c>
      <x:c r="H604" t="str">
        <x:v>explicit_negative</x:v>
      </x:c>
      <x:c r="I604" s="9" t="str">
        <x:v>MCL und LCL intakt und physiologisch signalgebend</x:v>
      </x:c>
      <x:c r="J604" s="9" t="str">
        <x:v>True</x:v>
      </x:c>
      <x:c r="K604" s="9" t="str">
        <x:v>MCL</x:v>
      </x:c>
      <x:c r="L604" t="str">
        <x:v>gemma4:e4b</x:v>
      </x:c>
    </x:row>
    <x:row r="605" ht="38" customHeight="1">
      <x:c r="A605" t="n">
        <x:v>3425</x:v>
      </x:c>
      <x:c r="B605" t="str">
        <x:v>1.2.826.0.1.3680043.8.498.73926443729786165628848843707532839995</x:v>
      </x:c>
      <x:c r="C605" t="str">
        <x:v>German</x:v>
      </x:c>
      <x:c r="D605" t="str">
        <x:v>Medial Meniscus</x:v>
      </x:c>
      <x:c r="E605" s="21" t="n">
        <x:v>1</x:v>
      </x:c>
      <x:c r="F605" s="21"/>
      <x:c r="G605" s="21" t="str">
        <x:f>IF(COUNT(F605)=0,"판정없음",IF(E605=F605,"일치",E605&amp;"→"&amp;F605))</x:f>
        <x:v>판정없음</x:v>
      </x:c>
      <x:c r="H605" t="str">
        <x:v>uncertain_or_indirect</x:v>
      </x:c>
      <x:c r="I605" s="9" t="str">
        <x:v>T2-hyperintense lineare radiale Läsion der Pars intermedia des Innenmeniskus mit inkompletter Separation eines kleinen Lappens</x:v>
      </x:c>
      <x:c r="J605" s="9" t="str">
        <x:v>True</x:v>
      </x:c>
      <x:c r="K605" s="9" t="str">
        <x:v>Pars intermedia</x:v>
      </x:c>
      <x:c r="L605" t="str">
        <x:v>gemma4:e4b</x:v>
      </x:c>
    </x:row>
    <x:row r="606" ht="38" customHeight="1">
      <x:c r="A606" t="n">
        <x:v>3425</x:v>
      </x:c>
      <x:c r="B606" t="str">
        <x:v>1.2.826.0.1.3680043.8.498.73926443729786165628848843707532839995</x:v>
      </x:c>
      <x:c r="C606" t="str">
        <x:v>German</x:v>
      </x:c>
      <x:c r="D606" t="str">
        <x:v>Medial OA</x:v>
      </x:c>
      <x:c r="E606" s="21" t="n">
        <x:v>0</x:v>
      </x:c>
      <x:c r="F606" s="21"/>
      <x:c r="G606" s="21" t="str">
        <x:f>IF(COUNT(F606)=0,"판정없음",IF(E606=F606,"일치",E606&amp;"→"&amp;F606))</x:f>
        <x:v>판정없음</x:v>
      </x:c>
      <x:c r="H606" t="str">
        <x:v>not_mentioned</x:v>
      </x:c>
      <x:c r="I606" s="9" t="str"/>
      <x:c r="J606" s="9" t="str">
        <x:v>True</x:v>
      </x:c>
      <x:c r="K606" s="9" t="str"/>
      <x:c r="L606" t="str">
        <x:v>gemma4:e4b</x:v>
      </x:c>
    </x:row>
    <x:row r="607" ht="38" customHeight="1">
      <x:c r="A607" t="n">
        <x:v>3425</x:v>
      </x:c>
      <x:c r="B607" t="str">
        <x:v>1.2.826.0.1.3680043.8.498.73926443729786165628848843707532839995</x:v>
      </x:c>
      <x:c r="C607" t="str">
        <x:v>German</x:v>
      </x:c>
      <x:c r="D607" t="str">
        <x:v>PF OA</x:v>
      </x:c>
      <x:c r="E607" s="21" t="n">
        <x:v>1</x:v>
      </x:c>
      <x:c r="F607" s="21"/>
      <x:c r="G607" s="21" t="str">
        <x:f>IF(COUNT(F607)=0,"판정없음",IF(E607=F607,"일치",E607&amp;"→"&amp;F607))</x:f>
        <x:v>판정없음</x:v>
      </x:c>
      <x:c r="H607" t="str">
        <x:v>not_mentioned</x:v>
      </x:c>
      <x:c r="I607" s="9" t="str"/>
      <x:c r="J607" s="9" t="str">
        <x:v>True</x:v>
      </x:c>
      <x:c r="K607" s="9" t="str"/>
      <x:c r="L607" t="str">
        <x:v>gemma4:e4b</x:v>
      </x:c>
    </x:row>
    <x:row r="608" ht="38" customHeight="1">
      <x:c r="A608" t="n">
        <x:v>3425</x:v>
      </x:c>
      <x:c r="B608" t="str">
        <x:v>1.2.826.0.1.3680043.8.498.73926443729786165628848843707532839995</x:v>
      </x:c>
      <x:c r="C608" t="str">
        <x:v>German</x:v>
      </x:c>
      <x:c r="D608" t="str">
        <x:v>Synovitis</x:v>
      </x:c>
      <x:c r="E608" s="21" t="n">
        <x:v>1</x:v>
      </x:c>
      <x:c r="F608" s="21"/>
      <x:c r="G608" s="21" t="str">
        <x:f>IF(COUNT(F608)=0,"판정없음",IF(E608=F608,"일치",E608&amp;"→"&amp;F608))</x:f>
        <x:v>판정없음</x:v>
      </x:c>
      <x:c r="H608" t="str">
        <x:v>not_mentioned</x:v>
      </x:c>
      <x:c r="I608" s="9" t="str"/>
      <x:c r="J608" s="9" t="str">
        <x:v>True</x:v>
      </x:c>
      <x:c r="K608" s="9" t="str"/>
      <x:c r="L608" t="str">
        <x:v>gemma4:e4b</x:v>
      </x:c>
    </x:row>
    <x:row r="609" ht="38" customHeight="1">
      <x:c r="A609" t="n">
        <x:v>3470</x:v>
      </x:c>
      <x:c r="B609" t="str">
        <x:v>1.2.826.0.1.3680043.8.498.75187434248356774277526985329346125190</x:v>
      </x:c>
      <x:c r="C609" t="str">
        <x:v>Bulgarian</x:v>
      </x:c>
      <x:c r="D609" t="str">
        <x:v>ACL</x:v>
      </x:c>
      <x:c r="E609" s="21" t="n">
        <x:v>1</x:v>
      </x:c>
      <x:c r="F609" s="21" t="n">
        <x:v>1</x:v>
      </x:c>
      <x:c r="G609" s="21" t="str">
        <x:f>IF(COUNT(F609)=0,"판정없음",IF(E609=F609,"일치",E609&amp;"→"&amp;F609))</x:f>
        <x:v>일치</x:v>
      </x:c>
      <x:c r="H609" t="str">
        <x:v>explicit_positive</x:v>
      </x:c>
      <x:c r="I609" s="9" t="str">
        <x:v>Пълна руптура на предна кръстна връзка</x:v>
      </x:c>
      <x:c r="J609" s="9" t="str">
        <x:v>True</x:v>
      </x:c>
      <x:c r="K609" s="9" t="str">
        <x:v>anterior cruciate ligament</x:v>
      </x:c>
      <x:c r="L609" t="str">
        <x:v>gemma4:e4b</x:v>
      </x:c>
    </x:row>
    <x:row r="610" ht="38" customHeight="1">
      <x:c r="A610" t="n">
        <x:v>3470</x:v>
      </x:c>
      <x:c r="B610" t="str">
        <x:v>1.2.826.0.1.3680043.8.498.75187434248356774277526985329346125190</x:v>
      </x:c>
      <x:c r="C610" t="str">
        <x:v>Bulgarian</x:v>
      </x:c>
      <x:c r="D610" t="str">
        <x:v>Baker's</x:v>
      </x:c>
      <x:c r="E610" s="21" t="n">
        <x:v>1</x:v>
      </x:c>
      <x:c r="F610" s="21" t="n">
        <x:v>1</x:v>
      </x:c>
      <x:c r="G610" s="21" t="str">
        <x:f>IF(COUNT(F610)=0,"판정없음",IF(E610=F610,"일치",E610&amp;"→"&amp;F610))</x:f>
        <x:v>일치</x:v>
      </x:c>
      <x:c r="H610" t="str">
        <x:v>explicit_positive</x:v>
      </x:c>
      <x:c r="I610" s="9" t="str">
        <x:v>Наличие на малка еднокамерна Бекерова киста в поплитеалната ямка</x:v>
      </x:c>
      <x:c r="J610" s="9" t="str">
        <x:v>True</x:v>
      </x:c>
      <x:c r="K610" s="9" t="str">
        <x:v>Baker's cyst</x:v>
      </x:c>
      <x:c r="L610" t="str">
        <x:v>gemma4:e4b</x:v>
      </x:c>
    </x:row>
    <x:row r="611" ht="38" customHeight="1">
      <x:c r="A611" t="n">
        <x:v>3470</x:v>
      </x:c>
      <x:c r="B611" t="str">
        <x:v>1.2.826.0.1.3680043.8.498.75187434248356774277526985329346125190</x:v>
      </x:c>
      <x:c r="C611" t="str">
        <x:v>Bulgarian</x:v>
      </x:c>
      <x:c r="D611" t="str">
        <x:v>Contusion</x:v>
      </x:c>
      <x:c r="E611" s="21" t="n">
        <x:v>1</x:v>
      </x:c>
      <x:c r="F611" s="21" t="n">
        <x:v>1</x:v>
      </x:c>
      <x:c r="G611" s="21" t="str">
        <x:f>IF(COUNT(F611)=0,"판정없음",IF(E611=F611,"일치",E611&amp;"→"&amp;F611))</x:f>
        <x:v>일치</x:v>
      </x:c>
      <x:c r="H611" t="str">
        <x:v>explicit_positive</x:v>
      </x:c>
      <x:c r="I611" s="9" t="str">
        <x:v>Травматичен костно-мозъчен едем</x:v>
      </x:c>
      <x:c r="J611" s="9" t="str">
        <x:v>True</x:v>
      </x:c>
      <x:c r="K611" s="9" t="str">
        <x:v>bone contusion</x:v>
      </x:c>
      <x:c r="L611" t="str">
        <x:v>gemma4:e4b</x:v>
      </x:c>
    </x:row>
    <x:row r="612" ht="38" customHeight="1">
      <x:c r="A612" t="n">
        <x:v>3470</x:v>
      </x:c>
      <x:c r="B612" t="str">
        <x:v>1.2.826.0.1.3680043.8.498.75187434248356774277526985329346125190</x:v>
      </x:c>
      <x:c r="C612" t="str">
        <x:v>Bulgarian</x:v>
      </x:c>
      <x:c r="D612" t="str">
        <x:v>Effusion</x:v>
      </x:c>
      <x:c r="E612" s="21" t="n">
        <x:v>1</x:v>
      </x:c>
      <x:c r="F612" s="21" t="n">
        <x:v>1</x:v>
      </x:c>
      <x:c r="G612" s="21" t="str">
        <x:f>IF(COUNT(F612)=0,"판정없음",IF(E612=F612,"일치",E612&amp;"→"&amp;F612))</x:f>
        <x:v>일치</x:v>
      </x:c>
      <x:c r="H612" t="str">
        <x:v>explicit_positive</x:v>
      </x:c>
      <x:c r="I612" s="9" t="str">
        <x:v>МР данни за ставен излив</x:v>
      </x:c>
      <x:c r="J612" s="9" t="str">
        <x:v>True</x:v>
      </x:c>
      <x:c r="K612" s="9" t="str">
        <x:v>knee joint effusion</x:v>
      </x:c>
      <x:c r="L612" t="str">
        <x:v>gemma4:e4b</x:v>
      </x:c>
    </x:row>
    <x:row r="613" ht="38" customHeight="1">
      <x:c r="A613" t="n">
        <x:v>3470</x:v>
      </x:c>
      <x:c r="B613" t="str">
        <x:v>1.2.826.0.1.3680043.8.498.75187434248356774277526985329346125190</x:v>
      </x:c>
      <x:c r="C613" t="str">
        <x:v>Bulgarian</x:v>
      </x:c>
      <x:c r="D613" t="str">
        <x:v>Fracture</x:v>
      </x:c>
      <x:c r="E613" s="21" t="n">
        <x:v>0</x:v>
      </x:c>
      <x:c r="F613" s="21" t="n">
        <x:v>1</x:v>
      </x:c>
      <x:c r="G613" s="21" t="str">
        <x:f>IF(COUNT(F613)=0,"판정없음",IF(E613=F613,"일치",E613&amp;"→"&amp;F613))</x:f>
        <x:v>0→1</x:v>
      </x:c>
      <x:c r="H613" t="str">
        <x:v>explicit_positive</x:v>
      </x:c>
      <x:c r="I613" s="9" t="str">
        <x:v>Изобразява се остеохондрална фрактура в областта на медиалния кондил на бедрената кост</x:v>
      </x:c>
      <x:c r="J613" s="9" t="str">
        <x:v>True</x:v>
      </x:c>
      <x:c r="K613" s="9" t="str">
        <x:v>остеохондрална фрактура</x:v>
      </x:c>
      <x:c r="L613" t="str">
        <x:v>gemma4:e4b</x:v>
      </x:c>
    </x:row>
    <x:row r="614" ht="38" customHeight="1">
      <x:c r="A614" t="n">
        <x:v>3470</x:v>
      </x:c>
      <x:c r="B614" t="str">
        <x:v>1.2.826.0.1.3680043.8.498.75187434248356774277526985329346125190</x:v>
      </x:c>
      <x:c r="C614" t="str">
        <x:v>Bulgarian</x:v>
      </x:c>
      <x:c r="D614" t="str">
        <x:v>Lateral Meniscus</x:v>
      </x:c>
      <x:c r="E614" s="21" t="n">
        <x:v>0</x:v>
      </x:c>
      <x:c r="F614" s="21"/>
      <x:c r="G614" s="21" t="str">
        <x:f>IF(COUNT(F614)=0,"판정없음",IF(E614=F614,"일치",E614&amp;"→"&amp;F614))</x:f>
        <x:v>판정없음</x:v>
      </x:c>
      <x:c r="H614" t="str">
        <x:v>uncertain_or_indirect</x:v>
      </x:c>
      <x:c r="I614" s="9" t="str">
        <x:v>МР данни за дегенеративни промени в задния рог на латералния менискус</x:v>
      </x:c>
      <x:c r="J614" s="9" t="str">
        <x:v>True</x:v>
      </x:c>
      <x:c r="K614" s="9" t="str">
        <x:v>задния рог на латералния менискуса</x:v>
      </x:c>
      <x:c r="L614" t="str">
        <x:v>gemma4:e4b</x:v>
      </x:c>
    </x:row>
    <x:row r="615" ht="38" customHeight="1">
      <x:c r="A615" t="n">
        <x:v>3470</x:v>
      </x:c>
      <x:c r="B615" t="str">
        <x:v>1.2.826.0.1.3680043.8.498.75187434248356774277526985329346125190</x:v>
      </x:c>
      <x:c r="C615" t="str">
        <x:v>Bulgarian</x:v>
      </x:c>
      <x:c r="D615" t="str">
        <x:v>Lateral OA</x:v>
      </x:c>
      <x:c r="E615" s="21" t="n">
        <x:v>0</x:v>
      </x:c>
      <x:c r="F615" s="21"/>
      <x:c r="G615" s="21" t="str">
        <x:f>IF(COUNT(F615)=0,"판정없음",IF(E615=F615,"일치",E615&amp;"→"&amp;F615))</x:f>
        <x:v>판정없음</x:v>
      </x:c>
      <x:c r="H615" t="str">
        <x:v>not_mentioned</x:v>
      </x:c>
      <x:c r="I615" s="9" t="str"/>
      <x:c r="J615" s="9" t="str">
        <x:v>True</x:v>
      </x:c>
      <x:c r="K615" s="9" t="str"/>
      <x:c r="L615" t="str">
        <x:v>gemma4:e4b</x:v>
      </x:c>
    </x:row>
    <x:row r="616" ht="38" customHeight="1">
      <x:c r="A616" t="n">
        <x:v>3470</x:v>
      </x:c>
      <x:c r="B616" t="str">
        <x:v>1.2.826.0.1.3680043.8.498.75187434248356774277526985329346125190</x:v>
      </x:c>
      <x:c r="C616" t="str">
        <x:v>Bulgarian</x:v>
      </x:c>
      <x:c r="D616" t="str">
        <x:v>MCL</x:v>
      </x:c>
      <x:c r="E616" s="21" t="n">
        <x:v>0</x:v>
      </x:c>
      <x:c r="F616" s="21"/>
      <x:c r="G616" s="21" t="str">
        <x:f>IF(COUNT(F616)=0,"판정없음",IF(E616=F616,"일치",E616&amp;"→"&amp;F616))</x:f>
        <x:v>판정없음</x:v>
      </x:c>
      <x:c r="H616" t="str">
        <x:v>not_mentioned</x:v>
      </x:c>
      <x:c r="I616" s="9" t="str"/>
      <x:c r="J616" s="9" t="str">
        <x:v>True</x:v>
      </x:c>
      <x:c r="K616" s="9" t="str"/>
      <x:c r="L616" t="str">
        <x:v>gemma4:e4b</x:v>
      </x:c>
    </x:row>
    <x:row r="617" ht="38" customHeight="1">
      <x:c r="A617" t="n">
        <x:v>3470</x:v>
      </x:c>
      <x:c r="B617" t="str">
        <x:v>1.2.826.0.1.3680043.8.498.75187434248356774277526985329346125190</x:v>
      </x:c>
      <x:c r="C617" t="str">
        <x:v>Bulgarian</x:v>
      </x:c>
      <x:c r="D617" t="str">
        <x:v>Medial Meniscus</x:v>
      </x:c>
      <x:c r="E617" s="21" t="n">
        <x:v>1</x:v>
      </x:c>
      <x:c r="F617" s="21" t="n">
        <x:v>1</x:v>
      </x:c>
      <x:c r="G617" s="21" t="str">
        <x:f>IF(COUNT(F617)=0,"판정없음",IF(E617=F617,"일치",E617&amp;"→"&amp;F617))</x:f>
        <x:v>일치</x:v>
      </x:c>
      <x:c r="H617" t="str">
        <x:v>explicit_positive</x:v>
      </x:c>
      <x:c r="I617" s="9" t="str">
        <x:v>МР данни за руптура на задния рог на медиалния менискус</x:v>
      </x:c>
      <x:c r="J617" s="9" t="str">
        <x:v>True</x:v>
      </x:c>
      <x:c r="K617" s="9" t="str">
        <x:v>задния рог на медиалния менискуса</x:v>
      </x:c>
      <x:c r="L617" t="str">
        <x:v>gemma4:e4b</x:v>
      </x:c>
    </x:row>
    <x:row r="618" ht="38" customHeight="1">
      <x:c r="A618" t="n">
        <x:v>3470</x:v>
      </x:c>
      <x:c r="B618" t="str">
        <x:v>1.2.826.0.1.3680043.8.498.75187434248356774277526985329346125190</x:v>
      </x:c>
      <x:c r="C618" t="str">
        <x:v>Bulgarian</x:v>
      </x:c>
      <x:c r="D618" t="str">
        <x:v>Medial OA</x:v>
      </x:c>
      <x:c r="E618" s="21" t="n">
        <x:v>0</x:v>
      </x:c>
      <x:c r="F618" s="21" t="n">
        <x:v>1</x:v>
      </x:c>
      <x:c r="G618" s="21" t="str">
        <x:f>IF(COUNT(F618)=0,"판정없음",IF(E618=F618,"일치",E618&amp;"→"&amp;F618))</x:f>
        <x:v>0→1</x:v>
      </x:c>
      <x:c r="H618" t="str">
        <x:v>explicit_positive</x:v>
      </x:c>
      <x:c r="I618" s="9" t="str">
        <x:v>остеохондрална фрактура в областта на медиалния кондил на бедрената кост</x:v>
      </x:c>
      <x:c r="J618" s="9" t="str">
        <x:v>True</x:v>
      </x:c>
      <x:c r="K618" s="9" t="str">
        <x:v>медиално плато</x:v>
      </x:c>
      <x:c r="L618" t="str">
        <x:v>gemma4:e4b</x:v>
      </x:c>
    </x:row>
    <x:row r="619" ht="38" customHeight="1">
      <x:c r="A619" t="n">
        <x:v>3470</x:v>
      </x:c>
      <x:c r="B619" t="str">
        <x:v>1.2.826.0.1.3680043.8.498.75187434248356774277526985329346125190</x:v>
      </x:c>
      <x:c r="C619" t="str">
        <x:v>Bulgarian</x:v>
      </x:c>
      <x:c r="D619" t="str">
        <x:v>PF OA</x:v>
      </x:c>
      <x:c r="E619" s="21" t="n">
        <x:v>1</x:v>
      </x:c>
      <x:c r="F619" s="21"/>
      <x:c r="G619" s="21" t="str">
        <x:f>IF(COUNT(F619)=0,"판정없음",IF(E619=F619,"일치",E619&amp;"→"&amp;F619))</x:f>
        <x:v>판정없음</x:v>
      </x:c>
      <x:c r="H619" t="str">
        <x:v>not_mentioned</x:v>
      </x:c>
      <x:c r="I619" s="9" t="str"/>
      <x:c r="J619" s="9" t="str">
        <x:v>True</x:v>
      </x:c>
      <x:c r="K619" s="9" t="str"/>
      <x:c r="L619" t="str">
        <x:v>gemma4:e4b</x:v>
      </x:c>
    </x:row>
    <x:row r="620" ht="38" customHeight="1">
      <x:c r="A620" t="n">
        <x:v>3470</x:v>
      </x:c>
      <x:c r="B620" t="str">
        <x:v>1.2.826.0.1.3680043.8.498.75187434248356774277526985329346125190</x:v>
      </x:c>
      <x:c r="C620" t="str">
        <x:v>Bulgarian</x:v>
      </x:c>
      <x:c r="D620" t="str">
        <x:v>Synovitis</x:v>
      </x:c>
      <x:c r="E620" s="21" t="n">
        <x:v>0</x:v>
      </x:c>
      <x:c r="F620" s="21"/>
      <x:c r="G620" s="21" t="str">
        <x:f>IF(COUNT(F620)=0,"판정없음",IF(E620=F620,"일치",E620&amp;"→"&amp;F620))</x:f>
        <x:v>판정없음</x:v>
      </x:c>
      <x:c r="H620" t="str">
        <x:v>not_mentioned</x:v>
      </x:c>
      <x:c r="I620" s="9" t="str"/>
      <x:c r="J620" s="9" t="str">
        <x:v>True</x:v>
      </x:c>
      <x:c r="K620" s="9" t="str"/>
      <x:c r="L620" t="str">
        <x:v>gemma4:e4b</x:v>
      </x:c>
    </x:row>
    <x:row r="621" ht="38" customHeight="1">
      <x:c r="A621" t="n">
        <x:v>3556</x:v>
      </x:c>
      <x:c r="B621" t="str">
        <x:v>1.2.826.0.1.3680043.8.498.77362718298550276679350855963451855003</x:v>
      </x:c>
      <x:c r="C621" t="str">
        <x:v>English</x:v>
      </x:c>
      <x:c r="D621" t="str">
        <x:v>ACL</x:v>
      </x:c>
      <x:c r="E621" s="21" t="n">
        <x:v>0</x:v>
      </x:c>
      <x:c r="F621" s="21" t="n">
        <x:v>0</x:v>
      </x:c>
      <x:c r="G621" s="21" t="str">
        <x:f>IF(COUNT(F621)=0,"판정없음",IF(E621=F621,"일치",E621&amp;"→"&amp;F621))</x:f>
        <x:v>일치</x:v>
      </x:c>
      <x:c r="H621" t="str">
        <x:v>explicit_negative</x:v>
      </x:c>
      <x:c r="I621" s="9" t="str">
        <x:v>ACL normal</x:v>
      </x:c>
      <x:c r="J621" s="9" t="str">
        <x:v>True</x:v>
      </x:c>
      <x:c r="K621" s="9" t="str"/>
      <x:c r="L621" t="str">
        <x:v>gemma4:e4b</x:v>
      </x:c>
    </x:row>
    <x:row r="622" ht="38" customHeight="1">
      <x:c r="A622" t="n">
        <x:v>3556</x:v>
      </x:c>
      <x:c r="B622" t="str">
        <x:v>1.2.826.0.1.3680043.8.498.77362718298550276679350855963451855003</x:v>
      </x:c>
      <x:c r="C622" t="str">
        <x:v>English</x:v>
      </x:c>
      <x:c r="D622" t="str">
        <x:v>Baker's</x:v>
      </x:c>
      <x:c r="E622" s="21" t="n">
        <x:v>0</x:v>
      </x:c>
      <x:c r="F622" s="21" t="n">
        <x:v>0</x:v>
      </x:c>
      <x:c r="G622" s="21" t="str">
        <x:f>IF(COUNT(F622)=0,"판정없음",IF(E622=F622,"일치",E622&amp;"→"&amp;F622))</x:f>
        <x:v>일치</x:v>
      </x:c>
      <x:c r="H622" t="str">
        <x:v>explicit_negative</x:v>
      </x:c>
      <x:c r="I622" s="9" t="str">
        <x:v>No Baker's cyst</x:v>
      </x:c>
      <x:c r="J622" s="9" t="str">
        <x:v>True</x:v>
      </x:c>
      <x:c r="K622" s="9" t="str"/>
      <x:c r="L622" t="str">
        <x:v>gemma4:e4b</x:v>
      </x:c>
    </x:row>
    <x:row r="623" ht="38" customHeight="1">
      <x:c r="A623" t="n">
        <x:v>3556</x:v>
      </x:c>
      <x:c r="B623" t="str">
        <x:v>1.2.826.0.1.3680043.8.498.77362718298550276679350855963451855003</x:v>
      </x:c>
      <x:c r="C623" t="str">
        <x:v>English</x:v>
      </x:c>
      <x:c r="D623" t="str">
        <x:v>Contusion</x:v>
      </x:c>
      <x:c r="E623" s="21" t="n">
        <x:v>1</x:v>
      </x:c>
      <x:c r="F623" s="21"/>
      <x:c r="G623" s="21" t="str">
        <x:f>IF(COUNT(F623)=0,"판정없음",IF(E623=F623,"일치",E623&amp;"→"&amp;F623))</x:f>
        <x:v>판정없음</x:v>
      </x:c>
      <x:c r="H623" t="str">
        <x:v>not_mentioned</x:v>
      </x:c>
      <x:c r="I623" s="9" t="str"/>
      <x:c r="J623" s="9" t="str">
        <x:v>True</x:v>
      </x:c>
      <x:c r="K623" s="9" t="str"/>
      <x:c r="L623" t="str">
        <x:v>gemma4:e4b</x:v>
      </x:c>
    </x:row>
    <x:row r="624" ht="38" customHeight="1">
      <x:c r="A624" t="n">
        <x:v>3556</x:v>
      </x:c>
      <x:c r="B624" t="str">
        <x:v>1.2.826.0.1.3680043.8.498.77362718298550276679350855963451855003</x:v>
      </x:c>
      <x:c r="C624" t="str">
        <x:v>English</x:v>
      </x:c>
      <x:c r="D624" t="str">
        <x:v>Effusion</x:v>
      </x:c>
      <x:c r="E624" s="21" t="n">
        <x:v>1</x:v>
      </x:c>
      <x:c r="F624" s="21" t="n">
        <x:v>1</x:v>
      </x:c>
      <x:c r="G624" s="21" t="str">
        <x:f>IF(COUNT(F624)=0,"판정없음",IF(E624=F624,"일치",E624&amp;"→"&amp;F624))</x:f>
        <x:v>일치</x:v>
      </x:c>
      <x:c r="H624" t="str">
        <x:v>explicit_positive</x:v>
      </x:c>
      <x:c r="I624" s="9" t="str">
        <x:v>Mild effusion</x:v>
      </x:c>
      <x:c r="J624" s="9" t="str">
        <x:v>True</x:v>
      </x:c>
      <x:c r="K624" s="9" t="str"/>
      <x:c r="L624" t="str">
        <x:v>gemma4:e4b</x:v>
      </x:c>
    </x:row>
    <x:row r="625" ht="38" customHeight="1">
      <x:c r="A625" t="n">
        <x:v>3556</x:v>
      </x:c>
      <x:c r="B625" t="str">
        <x:v>1.2.826.0.1.3680043.8.498.77362718298550276679350855963451855003</x:v>
      </x:c>
      <x:c r="C625" t="str">
        <x:v>English</x:v>
      </x:c>
      <x:c r="D625" t="str">
        <x:v>Fracture</x:v>
      </x:c>
      <x:c r="E625" s="21" t="n">
        <x:v>0</x:v>
      </x:c>
      <x:c r="F625" s="21"/>
      <x:c r="G625" s="21" t="str">
        <x:f>IF(COUNT(F625)=0,"판정없음",IF(E625=F625,"일치",E625&amp;"→"&amp;F625))</x:f>
        <x:v>판정없음</x:v>
      </x:c>
      <x:c r="H625" t="str">
        <x:v>not_mentioned</x:v>
      </x:c>
      <x:c r="I625" s="9" t="str"/>
      <x:c r="J625" s="9" t="str">
        <x:v>True</x:v>
      </x:c>
      <x:c r="K625" s="9" t="str"/>
      <x:c r="L625" t="str">
        <x:v>gemma4:e4b</x:v>
      </x:c>
    </x:row>
    <x:row r="626" ht="38" customHeight="1">
      <x:c r="A626" t="n">
        <x:v>3556</x:v>
      </x:c>
      <x:c r="B626" t="str">
        <x:v>1.2.826.0.1.3680043.8.498.77362718298550276679350855963451855003</x:v>
      </x:c>
      <x:c r="C626" t="str">
        <x:v>English</x:v>
      </x:c>
      <x:c r="D626" t="str">
        <x:v>Lateral Meniscus</x:v>
      </x:c>
      <x:c r="E626" s="21" t="n">
        <x:v>0</x:v>
      </x:c>
      <x:c r="F626" s="21" t="n">
        <x:v>0</x:v>
      </x:c>
      <x:c r="G626" s="21" t="str">
        <x:f>IF(COUNT(F626)=0,"판정없음",IF(E626=F626,"일치",E626&amp;"→"&amp;F626))</x:f>
        <x:v>일치</x:v>
      </x:c>
      <x:c r="H626" t="str">
        <x:v>explicit_negative</x:v>
      </x:c>
      <x:c r="I626" s="9" t="str">
        <x:v>Lateral meniscus normal</x:v>
      </x:c>
      <x:c r="J626" s="9" t="str">
        <x:v>True</x:v>
      </x:c>
      <x:c r="K626" s="9" t="str"/>
      <x:c r="L626" t="str">
        <x:v>gemma4:e4b</x:v>
      </x:c>
    </x:row>
    <x:row r="627" ht="38" customHeight="1">
      <x:c r="A627" t="n">
        <x:v>3556</x:v>
      </x:c>
      <x:c r="B627" t="str">
        <x:v>1.2.826.0.1.3680043.8.498.77362718298550276679350855963451855003</x:v>
      </x:c>
      <x:c r="C627" t="str">
        <x:v>English</x:v>
      </x:c>
      <x:c r="D627" t="str">
        <x:v>Lateral OA</x:v>
      </x:c>
      <x:c r="E627" s="21" t="n">
        <x:v>1</x:v>
      </x:c>
      <x:c r="F627" s="21"/>
      <x:c r="G627" s="21" t="str">
        <x:f>IF(COUNT(F627)=0,"판정없음",IF(E627=F627,"일치",E627&amp;"→"&amp;F627))</x:f>
        <x:v>판정없음</x:v>
      </x:c>
      <x:c r="H627" t="str">
        <x:v>not_mentioned</x:v>
      </x:c>
      <x:c r="I627" s="9" t="str"/>
      <x:c r="J627" s="9" t="str">
        <x:v>True</x:v>
      </x:c>
      <x:c r="K627" s="9" t="str"/>
      <x:c r="L627" t="str">
        <x:v>gemma4:e4b</x:v>
      </x:c>
    </x:row>
    <x:row r="628" ht="38" customHeight="1">
      <x:c r="A628" t="n">
        <x:v>3556</x:v>
      </x:c>
      <x:c r="B628" t="str">
        <x:v>1.2.826.0.1.3680043.8.498.77362718298550276679350855963451855003</x:v>
      </x:c>
      <x:c r="C628" t="str">
        <x:v>English</x:v>
      </x:c>
      <x:c r="D628" t="str">
        <x:v>MCL</x:v>
      </x:c>
      <x:c r="E628" s="21" t="n">
        <x:v>0</x:v>
      </x:c>
      <x:c r="F628" s="21" t="n">
        <x:v>0</x:v>
      </x:c>
      <x:c r="G628" s="21" t="str">
        <x:f>IF(COUNT(F628)=0,"판정없음",IF(E628=F628,"일치",E628&amp;"→"&amp;F628))</x:f>
        <x:v>일치</x:v>
      </x:c>
      <x:c r="H628" t="str">
        <x:v>explicit_negative</x:v>
      </x:c>
      <x:c r="I628" s="9" t="str">
        <x:v>MCL normal</x:v>
      </x:c>
      <x:c r="J628" s="9" t="str">
        <x:v>True</x:v>
      </x:c>
      <x:c r="K628" s="9" t="str"/>
      <x:c r="L628" t="str">
        <x:v>gemma4:e4b</x:v>
      </x:c>
    </x:row>
    <x:row r="629" ht="38" customHeight="1">
      <x:c r="A629" t="n">
        <x:v>3556</x:v>
      </x:c>
      <x:c r="B629" t="str">
        <x:v>1.2.826.0.1.3680043.8.498.77362718298550276679350855963451855003</x:v>
      </x:c>
      <x:c r="C629" t="str">
        <x:v>English</x:v>
      </x:c>
      <x:c r="D629" t="str">
        <x:v>Medial Meniscus</x:v>
      </x:c>
      <x:c r="E629" s="21" t="n">
        <x:v>0</x:v>
      </x:c>
      <x:c r="F629" s="21" t="n">
        <x:v>1</x:v>
      </x:c>
      <x:c r="G629" s="21" t="str">
        <x:f>IF(COUNT(F629)=0,"판정없음",IF(E629=F629,"일치",E629&amp;"→"&amp;F629))</x:f>
        <x:v>0→1</x:v>
      </x:c>
      <x:c r="H629" t="str">
        <x:v>explicit_positive</x:v>
      </x:c>
      <x:c r="I629" s="9" t="str">
        <x:v>Medial meniscus tear</x:v>
      </x:c>
      <x:c r="J629" s="9" t="str">
        <x:v>True</x:v>
      </x:c>
      <x:c r="K629" s="9" t="str"/>
      <x:c r="L629" t="str">
        <x:v>gemma4:e4b</x:v>
      </x:c>
    </x:row>
    <x:row r="630" ht="38" customHeight="1">
      <x:c r="A630" t="n">
        <x:v>3556</x:v>
      </x:c>
      <x:c r="B630" t="str">
        <x:v>1.2.826.0.1.3680043.8.498.77362718298550276679350855963451855003</x:v>
      </x:c>
      <x:c r="C630" t="str">
        <x:v>English</x:v>
      </x:c>
      <x:c r="D630" t="str">
        <x:v>Medial OA</x:v>
      </x:c>
      <x:c r="E630" s="21" t="n">
        <x:v>0</x:v>
      </x:c>
      <x:c r="F630" s="21"/>
      <x:c r="G630" s="21" t="str">
        <x:f>IF(COUNT(F630)=0,"판정없음",IF(E630=F630,"일치",E630&amp;"→"&amp;F630))</x:f>
        <x:v>판정없음</x:v>
      </x:c>
      <x:c r="H630" t="str">
        <x:v>not_mentioned</x:v>
      </x:c>
      <x:c r="I630" s="9" t="str"/>
      <x:c r="J630" s="9" t="str">
        <x:v>True</x:v>
      </x:c>
      <x:c r="K630" s="9" t="str"/>
      <x:c r="L630" t="str">
        <x:v>gemma4:e4b</x:v>
      </x:c>
    </x:row>
    <x:row r="631" ht="38" customHeight="1">
      <x:c r="A631" t="n">
        <x:v>3556</x:v>
      </x:c>
      <x:c r="B631" t="str">
        <x:v>1.2.826.0.1.3680043.8.498.77362718298550276679350855963451855003</x:v>
      </x:c>
      <x:c r="C631" t="str">
        <x:v>English</x:v>
      </x:c>
      <x:c r="D631" t="str">
        <x:v>PF OA</x:v>
      </x:c>
      <x:c r="E631" s="21" t="n">
        <x:v>0</x:v>
      </x:c>
      <x:c r="F631" s="21"/>
      <x:c r="G631" s="21" t="str">
        <x:f>IF(COUNT(F631)=0,"판정없음",IF(E631=F631,"일치",E631&amp;"→"&amp;F631))</x:f>
        <x:v>판정없음</x:v>
      </x:c>
      <x:c r="H631" t="str">
        <x:v>not_mentioned</x:v>
      </x:c>
      <x:c r="I631" s="9" t="str"/>
      <x:c r="J631" s="9" t="str">
        <x:v>True</x:v>
      </x:c>
      <x:c r="K631" s="9" t="str"/>
      <x:c r="L631" t="str">
        <x:v>gemma4:e4b</x:v>
      </x:c>
    </x:row>
    <x:row r="632" ht="38" customHeight="1">
      <x:c r="A632" t="n">
        <x:v>3556</x:v>
      </x:c>
      <x:c r="B632" t="str">
        <x:v>1.2.826.0.1.3680043.8.498.77362718298550276679350855963451855003</x:v>
      </x:c>
      <x:c r="C632" t="str">
        <x:v>English</x:v>
      </x:c>
      <x:c r="D632" t="str">
        <x:v>Synovitis</x:v>
      </x:c>
      <x:c r="E632" s="21" t="n">
        <x:v>1</x:v>
      </x:c>
      <x:c r="F632" s="21"/>
      <x:c r="G632" s="21" t="str">
        <x:f>IF(COUNT(F632)=0,"판정없음",IF(E632=F632,"일치",E632&amp;"→"&amp;F632))</x:f>
        <x:v>판정없음</x:v>
      </x:c>
      <x:c r="H632" t="str">
        <x:v>not_mentioned</x:v>
      </x:c>
      <x:c r="I632" s="9" t="str"/>
      <x:c r="J632" s="9" t="str">
        <x:v>True</x:v>
      </x:c>
      <x:c r="K632" s="9" t="str"/>
      <x:c r="L632" t="str">
        <x:v>gemma4:e4b</x:v>
      </x:c>
    </x:row>
    <x:row r="633" ht="38" customHeight="1">
      <x:c r="A633" t="n">
        <x:v>3607</x:v>
      </x:c>
      <x:c r="B633" t="str">
        <x:v>1.2.826.0.1.3680043.8.498.78512215519177850923279235346968676828</x:v>
      </x:c>
      <x:c r="C633" t="str">
        <x:v>Croatian</x:v>
      </x:c>
      <x:c r="D633" t="str">
        <x:v>ACL</x:v>
      </x:c>
      <x:c r="E633" s="21" t="n">
        <x:v>0</x:v>
      </x:c>
      <x:c r="F633" s="21"/>
      <x:c r="G633" s="21" t="str">
        <x:f>IF(COUNT(F633)=0,"판정없음",IF(E633=F633,"일치",E633&amp;"→"&amp;F633))</x:f>
        <x:v>판정없음</x:v>
      </x:c>
      <x:c r="H633" t="str">
        <x:v>uncertain_or_indirect</x:v>
      </x:c>
      <x:c r="I633" s="9" t="str">
        <x:v>trokutasti hiperintenzitet koji može odgovarati manjoj intrasupstancijskoj rupturi</x:v>
      </x:c>
      <x:c r="J633" s="9" t="str">
        <x:v>True</x:v>
      </x:c>
      <x:c r="K633" s="9" t="str">
        <x:v>distalnog hvatišta</x:v>
      </x:c>
      <x:c r="L633" t="str">
        <x:v>gemma4:e4b</x:v>
      </x:c>
    </x:row>
    <x:row r="634" ht="38" customHeight="1">
      <x:c r="A634" t="n">
        <x:v>3607</x:v>
      </x:c>
      <x:c r="B634" t="str">
        <x:v>1.2.826.0.1.3680043.8.498.78512215519177850923279235346968676828</x:v>
      </x:c>
      <x:c r="C634" t="str">
        <x:v>Croatian</x:v>
      </x:c>
      <x:c r="D634" t="str">
        <x:v>Baker's</x:v>
      </x:c>
      <x:c r="E634" s="21" t="n">
        <x:v>0</x:v>
      </x:c>
      <x:c r="F634" s="21" t="n">
        <x:v>0</x:v>
      </x:c>
      <x:c r="G634" s="21" t="str">
        <x:f>IF(COUNT(F634)=0,"판정없음",IF(E634=F634,"일치",E634&amp;"→"&amp;F634))</x:f>
        <x:v>일치</x:v>
      </x:c>
      <x:c r="H634" t="str">
        <x:v>explicit_negative</x:v>
      </x:c>
      <x:c r="I634" s="9" t="str">
        <x:v>Bez znakova poplitealne ciste</x:v>
      </x:c>
      <x:c r="J634" s="9" t="str">
        <x:v>True</x:v>
      </x:c>
      <x:c r="K634" s="9" t="str"/>
      <x:c r="L634" t="str">
        <x:v>gemma4:e4b</x:v>
      </x:c>
    </x:row>
    <x:row r="635" ht="38" customHeight="1">
      <x:c r="A635" t="n">
        <x:v>3607</x:v>
      </x:c>
      <x:c r="B635" t="str">
        <x:v>1.2.826.0.1.3680043.8.498.78512215519177850923279235346968676828</x:v>
      </x:c>
      <x:c r="C635" t="str">
        <x:v>Croatian</x:v>
      </x:c>
      <x:c r="D635" t="str">
        <x:v>Contusion</x:v>
      </x:c>
      <x:c r="E635" s="21" t="n">
        <x:v>0</x:v>
      </x:c>
      <x:c r="F635" s="21"/>
      <x:c r="G635" s="21" t="str">
        <x:f>IF(COUNT(F635)=0,"판정없음",IF(E635=F635,"일치",E635&amp;"→"&amp;F635))</x:f>
        <x:v>판정없음</x:v>
      </x:c>
      <x:c r="H635" t="str">
        <x:v>not_mentioned</x:v>
      </x:c>
      <x:c r="I635" s="9" t="str"/>
      <x:c r="J635" s="9" t="str">
        <x:v>True</x:v>
      </x:c>
      <x:c r="K635" s="9" t="str"/>
      <x:c r="L635" t="str">
        <x:v>gemma4:e4b</x:v>
      </x:c>
    </x:row>
    <x:row r="636" ht="38" customHeight="1">
      <x:c r="A636" t="n">
        <x:v>3607</x:v>
      </x:c>
      <x:c r="B636" t="str">
        <x:v>1.2.826.0.1.3680043.8.498.78512215519177850923279235346968676828</x:v>
      </x:c>
      <x:c r="C636" t="str">
        <x:v>Croatian</x:v>
      </x:c>
      <x:c r="D636" t="str">
        <x:v>Effusion</x:v>
      </x:c>
      <x:c r="E636" s="21" t="n">
        <x:v>0</x:v>
      </x:c>
      <x:c r="F636" s="21" t="n">
        <x:v>1</x:v>
      </x:c>
      <x:c r="G636" s="21" t="str">
        <x:f>IF(COUNT(F636)=0,"판정없음",IF(E636=F636,"일치",E636&amp;"→"&amp;F636))</x:f>
        <x:v>0→1</x:v>
      </x:c>
      <x:c r="H636" t="str">
        <x:v>explicit_positive</x:v>
      </x:c>
      <x:c r="I636" s="9" t="str">
        <x:v>Minimalni izljev</x:v>
      </x:c>
      <x:c r="J636" s="9" t="str">
        <x:v>True</x:v>
      </x:c>
      <x:c r="K636" s="9" t="str"/>
      <x:c r="L636" t="str">
        <x:v>gemma4:e4b</x:v>
      </x:c>
    </x:row>
    <x:row r="637" ht="38" customHeight="1">
      <x:c r="A637" t="n">
        <x:v>3607</x:v>
      </x:c>
      <x:c r="B637" t="str">
        <x:v>1.2.826.0.1.3680043.8.498.78512215519177850923279235346968676828</x:v>
      </x:c>
      <x:c r="C637" t="str">
        <x:v>Croatian</x:v>
      </x:c>
      <x:c r="D637" t="str">
        <x:v>Fracture</x:v>
      </x:c>
      <x:c r="E637" s="21" t="n">
        <x:v>0</x:v>
      </x:c>
      <x:c r="F637" s="21"/>
      <x:c r="G637" s="21" t="str">
        <x:f>IF(COUNT(F637)=0,"판정없음",IF(E637=F637,"일치",E637&amp;"→"&amp;F637))</x:f>
        <x:v>판정없음</x:v>
      </x:c>
      <x:c r="H637" t="str">
        <x:v>not_mentioned</x:v>
      </x:c>
      <x:c r="I637" s="9" t="str"/>
      <x:c r="J637" s="9" t="str">
        <x:v>True</x:v>
      </x:c>
      <x:c r="K637" s="9" t="str"/>
      <x:c r="L637" t="str">
        <x:v>gemma4:e4b</x:v>
      </x:c>
    </x:row>
    <x:row r="638" ht="38" customHeight="1">
      <x:c r="A638" t="n">
        <x:v>3607</x:v>
      </x:c>
      <x:c r="B638" t="str">
        <x:v>1.2.826.0.1.3680043.8.498.78512215519177850923279235346968676828</x:v>
      </x:c>
      <x:c r="C638" t="str">
        <x:v>Croatian</x:v>
      </x:c>
      <x:c r="D638" t="str">
        <x:v>Lateral Meniscus</x:v>
      </x:c>
      <x:c r="E638" s="21" t="n">
        <x:v>0</x:v>
      </x:c>
      <x:c r="F638" s="21" t="n">
        <x:v>0</x:v>
      </x:c>
      <x:c r="G638" s="21" t="str">
        <x:f>IF(COUNT(F638)=0,"판정없음",IF(E638=F638,"일치",E638&amp;"→"&amp;F638))</x:f>
        <x:v>일치</x:v>
      </x:c>
      <x:c r="H638" t="str">
        <x:v>explicit_negative</x:v>
      </x:c>
      <x:c r="I638" s="9" t="str">
        <x:v>Lateralni menisk bez znakova degeneracije ili rupture</x:v>
      </x:c>
      <x:c r="J638" s="9" t="str">
        <x:v>True</x:v>
      </x:c>
      <x:c r="K638" s="9" t="str"/>
      <x:c r="L638" t="str">
        <x:v>gemma4:e4b</x:v>
      </x:c>
    </x:row>
    <x:row r="639" ht="38" customHeight="1">
      <x:c r="A639" t="n">
        <x:v>3607</x:v>
      </x:c>
      <x:c r="B639" t="str">
        <x:v>1.2.826.0.1.3680043.8.498.78512215519177850923279235346968676828</x:v>
      </x:c>
      <x:c r="C639" t="str">
        <x:v>Croatian</x:v>
      </x:c>
      <x:c r="D639" t="str">
        <x:v>Lateral OA</x:v>
      </x:c>
      <x:c r="E639" s="21" t="n">
        <x:v>0</x:v>
      </x:c>
      <x:c r="F639" s="21" t="n">
        <x:v>1</x:v>
      </x:c>
      <x:c r="G639" s="21" t="str">
        <x:f>IF(COUNT(F639)=0,"판정없음",IF(E639=F639,"일치",E639&amp;"→"&amp;F639))</x:f>
        <x:v>0→1</x:v>
      </x:c>
      <x:c r="H639" t="str">
        <x:v>explicit_positive</x:v>
      </x:c>
      <x:c r="I639" s="9" t="str">
        <x:v>OA promjene obostrano, izraženije lateralno uz osteofite</x:v>
      </x:c>
      <x:c r="J639" s="9" t="str">
        <x:v>True</x:v>
      </x:c>
      <x:c r="K639" s="9" t="str"/>
      <x:c r="L639" t="str">
        <x:v>gemma4:e4b</x:v>
      </x:c>
    </x:row>
    <x:row r="640" ht="38" customHeight="1">
      <x:c r="A640" t="n">
        <x:v>3607</x:v>
      </x:c>
      <x:c r="B640" t="str">
        <x:v>1.2.826.0.1.3680043.8.498.78512215519177850923279235346968676828</x:v>
      </x:c>
      <x:c r="C640" t="str">
        <x:v>Croatian</x:v>
      </x:c>
      <x:c r="D640" t="str">
        <x:v>MCL</x:v>
      </x:c>
      <x:c r="E640" s="21" t="n">
        <x:v>0</x:v>
      </x:c>
      <x:c r="F640" s="21" t="n">
        <x:v>0</x:v>
      </x:c>
      <x:c r="G640" s="21" t="str">
        <x:f>IF(COUNT(F640)=0,"판정없음",IF(E640=F640,"일치",E640&amp;"→"&amp;F640))</x:f>
        <x:v>일치</x:v>
      </x:c>
      <x:c r="H640" t="str">
        <x:v>explicit_negative</x:v>
      </x:c>
      <x:c r="I640" s="9" t="str">
        <x:v>Lateralni i medijalni kolateralni ligamenti urednog signala te se prate u kontinuitetu</x:v>
      </x:c>
      <x:c r="J640" s="9" t="str">
        <x:v>True</x:v>
      </x:c>
      <x:c r="K640" s="9" t="str"/>
      <x:c r="L640" t="str">
        <x:v>gemma4:e4b</x:v>
      </x:c>
    </x:row>
    <x:row r="641" ht="38" customHeight="1">
      <x:c r="A641" t="n">
        <x:v>3607</x:v>
      </x:c>
      <x:c r="B641" t="str">
        <x:v>1.2.826.0.1.3680043.8.498.78512215519177850923279235346968676828</x:v>
      </x:c>
      <x:c r="C641" t="str">
        <x:v>Croatian</x:v>
      </x:c>
      <x:c r="D641" t="str">
        <x:v>Medial Meniscus</x:v>
      </x:c>
      <x:c r="E641" s="21" t="n">
        <x:v>1</x:v>
      </x:c>
      <x:c r="F641" s="21" t="n">
        <x:v>1</x:v>
      </x:c>
      <x:c r="G641" s="21" t="str">
        <x:f>IF(COUNT(F641)=0,"판정없음",IF(E641=F641,"일치",E641&amp;"→"&amp;F641))</x:f>
        <x:v>일치</x:v>
      </x:c>
      <x:c r="H641" t="str">
        <x:v>explicit_positive</x:v>
      </x:c>
      <x:c r="I641" s="9" t="str">
        <x:v>Vertikalna ruptura stražnjeg roga medijalnog meniska koja seže i zahvaća donju artikulacijsku plohu uz promijenjen intenzitet signala posteromedijalnog dijela zglobne čahure i meniskotibijalne sveze - ramp lezija</x:v>
      </x:c>
      <x:c r="J641" s="9" t="str">
        <x:v>True</x:v>
      </x:c>
      <x:c r="K641" s="9" t="str"/>
      <x:c r="L641" t="str">
        <x:v>gemma4:e4b</x:v>
      </x:c>
    </x:row>
    <x:row r="642" ht="38" customHeight="1">
      <x:c r="A642" t="n">
        <x:v>3607</x:v>
      </x:c>
      <x:c r="B642" t="str">
        <x:v>1.2.826.0.1.3680043.8.498.78512215519177850923279235346968676828</x:v>
      </x:c>
      <x:c r="C642" t="str">
        <x:v>Croatian</x:v>
      </x:c>
      <x:c r="D642" t="str">
        <x:v>Medial OA</x:v>
      </x:c>
      <x:c r="E642" s="21" t="n">
        <x:v>1</x:v>
      </x:c>
      <x:c r="F642" s="21"/>
      <x:c r="G642" s="21" t="str">
        <x:f>IF(COUNT(F642)=0,"판정없음",IF(E642=F642,"일치",E642&amp;"→"&amp;F642))</x:f>
        <x:v>판정없음</x:v>
      </x:c>
      <x:c r="H642" t="str">
        <x:v>uncertain_or_indirect</x:v>
      </x:c>
      <x:c r="I642" s="9" t="str">
        <x:v>hondromalacijom IV stupnja hrskavice interfasetarno</x:v>
      </x:c>
      <x:c r="J642" s="9" t="str">
        <x:v>True</x:v>
      </x:c>
      <x:c r="K642" s="9" t="str"/>
      <x:c r="L642" t="str">
        <x:v>gemma4:e4b</x:v>
      </x:c>
    </x:row>
    <x:row r="643" ht="38" customHeight="1">
      <x:c r="A643" t="n">
        <x:v>3607</x:v>
      </x:c>
      <x:c r="B643" t="str">
        <x:v>1.2.826.0.1.3680043.8.498.78512215519177850923279235346968676828</x:v>
      </x:c>
      <x:c r="C643" t="str">
        <x:v>Croatian</x:v>
      </x:c>
      <x:c r="D643" t="str">
        <x:v>PF OA</x:v>
      </x:c>
      <x:c r="E643" s="21" t="n">
        <x:v>1</x:v>
      </x:c>
      <x:c r="F643" s="21" t="n">
        <x:v>1</x:v>
      </x:c>
      <x:c r="G643" s="21" t="str">
        <x:f>IF(COUNT(F643)=0,"판정없음",IF(E643=F643,"일치",E643&amp;"→"&amp;F643))</x:f>
        <x:v>일치</x:v>
      </x:c>
      <x:c r="H643" t="str">
        <x:v>explicit_positive</x:v>
      </x:c>
      <x:c r="I643" s="9" t="str">
        <x:v>PF artrotske promjene s reduciranim zglobnim prostorom, manjim izljevom i hondromalacijom IV stupnja hrskavice interfasetarno</x:v>
      </x:c>
      <x:c r="J643" s="9" t="str">
        <x:v>True</x:v>
      </x:c>
      <x:c r="K643" s="9" t="str"/>
      <x:c r="L643" t="str">
        <x:v>gemma4:e4b</x:v>
      </x:c>
    </x:row>
    <x:row r="644" ht="38" customHeight="1">
      <x:c r="A644" t="n">
        <x:v>3607</x:v>
      </x:c>
      <x:c r="B644" t="str">
        <x:v>1.2.826.0.1.3680043.8.498.78512215519177850923279235346968676828</x:v>
      </x:c>
      <x:c r="C644" t="str">
        <x:v>Croatian</x:v>
      </x:c>
      <x:c r="D644" t="str">
        <x:v>Synovitis</x:v>
      </x:c>
      <x:c r="E644" s="21" t="n">
        <x:v>0</x:v>
      </x:c>
      <x:c r="F644" s="21"/>
      <x:c r="G644" s="21" t="str">
        <x:f>IF(COUNT(F644)=0,"판정없음",IF(E644=F644,"일치",E644&amp;"→"&amp;F644))</x:f>
        <x:v>판정없음</x:v>
      </x:c>
      <x:c r="H644" t="str">
        <x:v>not_mentioned</x:v>
      </x:c>
      <x:c r="I644" s="9" t="str"/>
      <x:c r="J644" s="9" t="str">
        <x:v>True</x:v>
      </x:c>
      <x:c r="K644" s="9" t="str"/>
      <x:c r="L644" t="str">
        <x:v>gemma4:e4b</x:v>
      </x:c>
    </x:row>
    <x:row r="645" ht="38" customHeight="1">
      <x:c r="A645" t="n">
        <x:v>3752</x:v>
      </x:c>
      <x:c r="B645" t="str">
        <x:v>1.2.826.0.1.3680043.8.498.82166943552764439138333504456139890254</x:v>
      </x:c>
      <x:c r="C645" t="str">
        <x:v>English</x:v>
      </x:c>
      <x:c r="D645" t="str">
        <x:v>ACL</x:v>
      </x:c>
      <x:c r="E645" s="21" t="n">
        <x:v>1</x:v>
      </x:c>
      <x:c r="F645" s="21" t="n">
        <x:v>1</x:v>
      </x:c>
      <x:c r="G645" s="21" t="str">
        <x:f>IF(COUNT(F645)=0,"판정없음",IF(E645=F645,"일치",E645&amp;"→"&amp;F645))</x:f>
        <x:v>일치</x:v>
      </x:c>
      <x:c r="H645" t="str">
        <x:v>explicit_positive</x:v>
      </x:c>
      <x:c r="I645" s="9" t="str">
        <x:v>Chronic complete tear of the anterior cruciate ligament, at mid substance.</x:v>
      </x:c>
      <x:c r="J645" s="9" t="str">
        <x:v>True</x:v>
      </x:c>
      <x:c r="K645" s="9" t="str"/>
      <x:c r="L645" t="str">
        <x:v>gemma4:e4b</x:v>
      </x:c>
    </x:row>
    <x:row r="646" ht="38" customHeight="1">
      <x:c r="A646" t="n">
        <x:v>3752</x:v>
      </x:c>
      <x:c r="B646" t="str">
        <x:v>1.2.826.0.1.3680043.8.498.82166943552764439138333504456139890254</x:v>
      </x:c>
      <x:c r="C646" t="str">
        <x:v>English</x:v>
      </x:c>
      <x:c r="D646" t="str">
        <x:v>Baker's</x:v>
      </x:c>
      <x:c r="E646" s="21" t="n">
        <x:v>0</x:v>
      </x:c>
      <x:c r="F646" s="21"/>
      <x:c r="G646" s="21" t="str">
        <x:f>IF(COUNT(F646)=0,"판정없음",IF(E646=F646,"일치",E646&amp;"→"&amp;F646))</x:f>
        <x:v>판정없음</x:v>
      </x:c>
      <x:c r="H646" t="str">
        <x:v>not_mentioned</x:v>
      </x:c>
      <x:c r="I646" s="9" t="str"/>
      <x:c r="J646" s="9" t="str">
        <x:v>True</x:v>
      </x:c>
      <x:c r="K646" s="9" t="str"/>
      <x:c r="L646" t="str">
        <x:v>gemma4:e4b</x:v>
      </x:c>
    </x:row>
    <x:row r="647" ht="38" customHeight="1">
      <x:c r="A647" t="n">
        <x:v>3752</x:v>
      </x:c>
      <x:c r="B647" t="str">
        <x:v>1.2.826.0.1.3680043.8.498.82166943552764439138333504456139890254</x:v>
      </x:c>
      <x:c r="C647" t="str">
        <x:v>English</x:v>
      </x:c>
      <x:c r="D647" t="str">
        <x:v>Contusion</x:v>
      </x:c>
      <x:c r="E647" s="21" t="n">
        <x:v>0</x:v>
      </x:c>
      <x:c r="F647" s="21" t="n">
        <x:v>0</x:v>
      </x:c>
      <x:c r="G647" s="21" t="str">
        <x:f>IF(COUNT(F647)=0,"판정없음",IF(E647=F647,"일치",E647&amp;"→"&amp;F647))</x:f>
        <x:v>일치</x:v>
      </x:c>
      <x:c r="H647" t="str">
        <x:v>explicit_negative</x:v>
      </x:c>
      <x:c r="I647" s="9" t="str">
        <x:v>no subchondral edema</x:v>
      </x:c>
      <x:c r="J647" s="9" t="str">
        <x:v>True</x:v>
      </x:c>
      <x:c r="K647" s="9" t="str"/>
      <x:c r="L647" t="str">
        <x:v>gemma4:e4b</x:v>
      </x:c>
    </x:row>
    <x:row r="648" ht="38" customHeight="1">
      <x:c r="A648" t="n">
        <x:v>3752</x:v>
      </x:c>
      <x:c r="B648" t="str">
        <x:v>1.2.826.0.1.3680043.8.498.82166943552764439138333504456139890254</x:v>
      </x:c>
      <x:c r="C648" t="str">
        <x:v>English</x:v>
      </x:c>
      <x:c r="D648" t="str">
        <x:v>Effusion</x:v>
      </x:c>
      <x:c r="E648" s="21" t="n">
        <x:v>1</x:v>
      </x:c>
      <x:c r="F648" s="21" t="n">
        <x:v>1</x:v>
      </x:c>
      <x:c r="G648" s="21" t="str">
        <x:f>IF(COUNT(F648)=0,"판정없음",IF(E648=F648,"일치",E648&amp;"→"&amp;F648))</x:f>
        <x:v>일치</x:v>
      </x:c>
      <x:c r="H648" t="str">
        <x:v>explicit_positive</x:v>
      </x:c>
      <x:c r="I648" s="9" t="str">
        <x:v>Minimal amount of right knee effusion is present.</x:v>
      </x:c>
      <x:c r="J648" s="9" t="str">
        <x:v>True</x:v>
      </x:c>
      <x:c r="K648" s="9" t="str"/>
      <x:c r="L648" t="str">
        <x:v>gemma4:e4b</x:v>
      </x:c>
    </x:row>
    <x:row r="649" ht="38" customHeight="1">
      <x:c r="A649" t="n">
        <x:v>3752</x:v>
      </x:c>
      <x:c r="B649" t="str">
        <x:v>1.2.826.0.1.3680043.8.498.82166943552764439138333504456139890254</x:v>
      </x:c>
      <x:c r="C649" t="str">
        <x:v>English</x:v>
      </x:c>
      <x:c r="D649" t="str">
        <x:v>Fracture</x:v>
      </x:c>
      <x:c r="E649" s="21" t="n">
        <x:v>0</x:v>
      </x:c>
      <x:c r="F649" s="21"/>
      <x:c r="G649" s="21" t="str">
        <x:f>IF(COUNT(F649)=0,"판정없음",IF(E649=F649,"일치",E649&amp;"→"&amp;F649))</x:f>
        <x:v>판정없음</x:v>
      </x:c>
      <x:c r="H649" t="str">
        <x:v>not_mentioned</x:v>
      </x:c>
      <x:c r="I649" s="9" t="str"/>
      <x:c r="J649" s="9" t="str">
        <x:v>True</x:v>
      </x:c>
      <x:c r="K649" s="9" t="str"/>
      <x:c r="L649" t="str">
        <x:v>gemma4:e4b</x:v>
      </x:c>
    </x:row>
    <x:row r="650" ht="38" customHeight="1">
      <x:c r="A650" t="n">
        <x:v>3752</x:v>
      </x:c>
      <x:c r="B650" t="str">
        <x:v>1.2.826.0.1.3680043.8.498.82166943552764439138333504456139890254</x:v>
      </x:c>
      <x:c r="C650" t="str">
        <x:v>English</x:v>
      </x:c>
      <x:c r="D650" t="str">
        <x:v>Lateral Meniscus</x:v>
      </x:c>
      <x:c r="E650" s="21" t="n">
        <x:v>1</x:v>
      </x:c>
      <x:c r="F650" s="21" t="n">
        <x:v>1</x:v>
      </x:c>
      <x:c r="G650" s="21" t="str">
        <x:f>IF(COUNT(F650)=0,"판정없음",IF(E650=F650,"일치",E650&amp;"→"&amp;F650))</x:f>
        <x:v>일치</x:v>
      </x:c>
      <x:c r="H650" t="str">
        <x:v>explicit_positive</x:v>
      </x:c>
      <x:c r="I650" s="9" t="str">
        <x:v>Complex tear with buckethandle tear at the anterior horn, body and posterior horn of the lateral meniscus.</x:v>
      </x:c>
      <x:c r="J650" s="9" t="str">
        <x:v>True</x:v>
      </x:c>
      <x:c r="K650" s="9" t="str"/>
      <x:c r="L650" t="str">
        <x:v>gemma4:e4b</x:v>
      </x:c>
    </x:row>
    <x:row r="651" ht="38" customHeight="1">
      <x:c r="A651" t="n">
        <x:v>3752</x:v>
      </x:c>
      <x:c r="B651" t="str">
        <x:v>1.2.826.0.1.3680043.8.498.82166943552764439138333504456139890254</x:v>
      </x:c>
      <x:c r="C651" t="str">
        <x:v>English</x:v>
      </x:c>
      <x:c r="D651" t="str">
        <x:v>Lateral OA</x:v>
      </x:c>
      <x:c r="E651" s="21" t="n">
        <x:v>0</x:v>
      </x:c>
      <x:c r="F651" s="21" t="n">
        <x:v>1</x:v>
      </x:c>
      <x:c r="G651" s="21" t="str">
        <x:f>IF(COUNT(F651)=0,"판정없음",IF(E651=F651,"일치",E651&amp;"→"&amp;F651))</x:f>
        <x:v>0→1</x:v>
      </x:c>
      <x:c r="H651" t="str">
        <x:v>explicit_positive</x:v>
      </x:c>
      <x:c r="I651" s="9" t="str">
        <x:v>Focal high grade chondrosis at the the posterolateral tibial plateau (about 1.5* 1.9 cm).</x:v>
      </x:c>
      <x:c r="J651" s="9" t="str">
        <x:v>True</x:v>
      </x:c>
      <x:c r="K651" s="9" t="str"/>
      <x:c r="L651" t="str">
        <x:v>gemma4:e4b</x:v>
      </x:c>
    </x:row>
    <x:row r="652" ht="38" customHeight="1">
      <x:c r="A652" t="n">
        <x:v>3752</x:v>
      </x:c>
      <x:c r="B652" t="str">
        <x:v>1.2.826.0.1.3680043.8.498.82166943552764439138333504456139890254</x:v>
      </x:c>
      <x:c r="C652" t="str">
        <x:v>English</x:v>
      </x:c>
      <x:c r="D652" t="str">
        <x:v>MCL</x:v>
      </x:c>
      <x:c r="E652" s="21" t="n">
        <x:v>0</x:v>
      </x:c>
      <x:c r="F652" s="21" t="n">
        <x:v>0</x:v>
      </x:c>
      <x:c r="G652" s="21" t="str">
        <x:f>IF(COUNT(F652)=0,"판정없음",IF(E652=F652,"일치",E652&amp;"→"&amp;F652))</x:f>
        <x:v>일치</x:v>
      </x:c>
      <x:c r="H652" t="str">
        <x:v>explicit_negative</x:v>
      </x:c>
      <x:c r="I652" s="9" t="str">
        <x:v>The medial collateral ligament complexes are intact.</x:v>
      </x:c>
      <x:c r="J652" s="9" t="str">
        <x:v>True</x:v>
      </x:c>
      <x:c r="K652" s="9" t="str"/>
      <x:c r="L652" t="str">
        <x:v>gemma4:e4b</x:v>
      </x:c>
    </x:row>
    <x:row r="653" ht="38" customHeight="1">
      <x:c r="A653" t="n">
        <x:v>3752</x:v>
      </x:c>
      <x:c r="B653" t="str">
        <x:v>1.2.826.0.1.3680043.8.498.82166943552764439138333504456139890254</x:v>
      </x:c>
      <x:c r="C653" t="str">
        <x:v>English</x:v>
      </x:c>
      <x:c r="D653" t="str">
        <x:v>Medial Meniscus</x:v>
      </x:c>
      <x:c r="E653" s="21" t="n">
        <x:v>1</x:v>
      </x:c>
      <x:c r="F653" s="21" t="n">
        <x:v>1</x:v>
      </x:c>
      <x:c r="G653" s="21" t="str">
        <x:f>IF(COUNT(F653)=0,"판정없음",IF(E653=F653,"일치",E653&amp;"→"&amp;F653))</x:f>
        <x:v>일치</x:v>
      </x:c>
      <x:c r="H653" t="str">
        <x:v>explicit_positive</x:v>
      </x:c>
      <x:c r="I653" s="9" t="str">
        <x:v>Complex tear (main radial component) at the body and posterior horn of the medial meniscus.</x:v>
      </x:c>
      <x:c r="J653" s="9" t="str">
        <x:v>True</x:v>
      </x:c>
      <x:c r="K653" s="9" t="str"/>
      <x:c r="L653" t="str">
        <x:v>gemma4:e4b</x:v>
      </x:c>
    </x:row>
    <x:row r="654" ht="38" customHeight="1">
      <x:c r="A654" t="n">
        <x:v>3752</x:v>
      </x:c>
      <x:c r="B654" t="str">
        <x:v>1.2.826.0.1.3680043.8.498.82166943552764439138333504456139890254</x:v>
      </x:c>
      <x:c r="C654" t="str">
        <x:v>English</x:v>
      </x:c>
      <x:c r="D654" t="str">
        <x:v>Medial OA</x:v>
      </x:c>
      <x:c r="E654" s="21" t="n">
        <x:v>1</x:v>
      </x:c>
      <x:c r="F654" s="21" t="n">
        <x:v>1</x:v>
      </x:c>
      <x:c r="G654" s="21" t="str">
        <x:f>IF(COUNT(F654)=0,"판정없음",IF(E654=F654,"일치",E654&amp;"→"&amp;F654))</x:f>
        <x:v>일치</x:v>
      </x:c>
      <x:c r="H654" t="str">
        <x:v>explicit_positive</x:v>
      </x:c>
      <x:c r="I654" s="9" t="str">
        <x:v>Mild medial tibiofemoral compartmental osteoarthritis of the right knee by evidence of chondrosis, subchondral edema and osteophytes.</x:v>
      </x:c>
      <x:c r="J654" s="9" t="str">
        <x:v>True</x:v>
      </x:c>
      <x:c r="K654" s="9" t="str"/>
      <x:c r="L654" t="str">
        <x:v>gemma4:e4b</x:v>
      </x:c>
    </x:row>
    <x:row r="655" ht="38" customHeight="1">
      <x:c r="A655" t="n">
        <x:v>3752</x:v>
      </x:c>
      <x:c r="B655" t="str">
        <x:v>1.2.826.0.1.3680043.8.498.82166943552764439138333504456139890254</x:v>
      </x:c>
      <x:c r="C655" t="str">
        <x:v>English</x:v>
      </x:c>
      <x:c r="D655" t="str">
        <x:v>PF OA</x:v>
      </x:c>
      <x:c r="E655" s="21" t="n">
        <x:v>0</x:v>
      </x:c>
      <x:c r="F655" s="21" t="n">
        <x:v>1</x:v>
      </x:c>
      <x:c r="G655" s="21" t="str">
        <x:f>IF(COUNT(F655)=0,"판정없음",IF(E655=F655,"일치",E655&amp;"→"&amp;F655))</x:f>
        <x:v>0→1</x:v>
      </x:c>
      <x:c r="H655" t="str">
        <x:v>explicit_positive</x:v>
      </x:c>
      <x:c r="I655" s="9" t="str">
        <x:v>Focal low grade chondrosis at the medial patellar facet (about 1.3* 1 cm).</x:v>
      </x:c>
      <x:c r="J655" s="9" t="str">
        <x:v>True</x:v>
      </x:c>
      <x:c r="K655" s="9" t="str"/>
      <x:c r="L655" t="str">
        <x:v>gemma4:e4b</x:v>
      </x:c>
    </x:row>
    <x:row r="656" ht="38" customHeight="1">
      <x:c r="A656" t="n">
        <x:v>3752</x:v>
      </x:c>
      <x:c r="B656" t="str">
        <x:v>1.2.826.0.1.3680043.8.498.82166943552764439138333504456139890254</x:v>
      </x:c>
      <x:c r="C656" t="str">
        <x:v>English</x:v>
      </x:c>
      <x:c r="D656" t="str">
        <x:v>Synovitis</x:v>
      </x:c>
      <x:c r="E656" s="21" t="n">
        <x:v>0</x:v>
      </x:c>
      <x:c r="F656" s="21"/>
      <x:c r="G656" s="21" t="str">
        <x:f>IF(COUNT(F656)=0,"판정없음",IF(E656=F656,"일치",E656&amp;"→"&amp;F656))</x:f>
        <x:v>판정없음</x:v>
      </x:c>
      <x:c r="H656" t="str">
        <x:v>not_mentioned</x:v>
      </x:c>
      <x:c r="I656" s="9" t="str"/>
      <x:c r="J656" s="9" t="str">
        <x:v>True</x:v>
      </x:c>
      <x:c r="K656" s="9" t="str"/>
      <x:c r="L656" t="str">
        <x:v>gemma4:e4b</x:v>
      </x:c>
    </x:row>
    <x:row r="657" ht="38" customHeight="1">
      <x:c r="A657" t="n">
        <x:v>3911</x:v>
      </x:c>
      <x:c r="B657" t="str">
        <x:v>1.2.826.0.1.3680043.8.498.86968600239724310678905311244945464037</x:v>
      </x:c>
      <x:c r="C657" t="str">
        <x:v>English</x:v>
      </x:c>
      <x:c r="D657" t="str">
        <x:v>ACL</x:v>
      </x:c>
      <x:c r="E657" s="21" t="n">
        <x:v>1</x:v>
      </x:c>
      <x:c r="F657" s="21" t="n">
        <x:v>1</x:v>
      </x:c>
      <x:c r="G657" s="21" t="str">
        <x:f>IF(COUNT(F657)=0,"판정없음",IF(E657=F657,"일치",E657&amp;"→"&amp;F657))</x:f>
        <x:v>일치</x:v>
      </x:c>
      <x:c r="H657" t="str">
        <x:v>explicit_positive</x:v>
      </x:c>
      <x:c r="I657" s="9" t="str">
        <x:v>Suggestive of complete tear of ACL.</x:v>
      </x:c>
      <x:c r="J657" s="9" t="str">
        <x:v>True</x:v>
      </x:c>
      <x:c r="K657" s="9" t="str">
        <x:v>Complete ACL tear</x:v>
      </x:c>
      <x:c r="L657" t="str">
        <x:v>gemma4:e4b</x:v>
      </x:c>
    </x:row>
    <x:row r="658" ht="38" customHeight="1">
      <x:c r="A658" t="n">
        <x:v>3911</x:v>
      </x:c>
      <x:c r="B658" t="str">
        <x:v>1.2.826.0.1.3680043.8.498.86968600239724310678905311244945464037</x:v>
      </x:c>
      <x:c r="C658" t="str">
        <x:v>English</x:v>
      </x:c>
      <x:c r="D658" t="str">
        <x:v>Baker's</x:v>
      </x:c>
      <x:c r="E658" s="21" t="n">
        <x:v>0</x:v>
      </x:c>
      <x:c r="F658" s="21"/>
      <x:c r="G658" s="21" t="str">
        <x:f>IF(COUNT(F658)=0,"판정없음",IF(E658=F658,"일치",E658&amp;"→"&amp;F658))</x:f>
        <x:v>판정없음</x:v>
      </x:c>
      <x:c r="H658" t="str">
        <x:v>not_mentioned</x:v>
      </x:c>
      <x:c r="I658" s="9" t="str"/>
      <x:c r="J658" s="9" t="str">
        <x:v>True</x:v>
      </x:c>
      <x:c r="K658" s="9" t="str"/>
      <x:c r="L658" t="str">
        <x:v>gemma4:e4b</x:v>
      </x:c>
    </x:row>
    <x:row r="659" ht="38" customHeight="1">
      <x:c r="A659" t="n">
        <x:v>3911</x:v>
      </x:c>
      <x:c r="B659" t="str">
        <x:v>1.2.826.0.1.3680043.8.498.86968600239724310678905311244945464037</x:v>
      </x:c>
      <x:c r="C659" t="str">
        <x:v>English</x:v>
      </x:c>
      <x:c r="D659" t="str">
        <x:v>Contusion</x:v>
      </x:c>
      <x:c r="E659" s="21" t="n">
        <x:v>0</x:v>
      </x:c>
      <x:c r="F659" s="21" t="n">
        <x:v>1</x:v>
      </x:c>
      <x:c r="G659" s="21" t="str">
        <x:f>IF(COUNT(F659)=0,"판정없음",IF(E659=F659,"일치",E659&amp;"→"&amp;F659))</x:f>
        <x:v>0→1</x:v>
      </x:c>
      <x:c r="H659" t="str">
        <x:v>explicit_positive</x:v>
      </x:c>
      <x:c r="I659" s="9" t="str">
        <x:v>Bone marrow edema over lateral tibial plateau.</x:v>
      </x:c>
      <x:c r="J659" s="9" t="str">
        <x:v>True</x:v>
      </x:c>
      <x:c r="K659" s="9" t="str">
        <x:v>lateral tibial plateau</x:v>
      </x:c>
      <x:c r="L659" t="str">
        <x:v>gemma4:e4b</x:v>
      </x:c>
    </x:row>
    <x:row r="660" ht="38" customHeight="1">
      <x:c r="A660" t="n">
        <x:v>3911</x:v>
      </x:c>
      <x:c r="B660" t="str">
        <x:v>1.2.826.0.1.3680043.8.498.86968600239724310678905311244945464037</x:v>
      </x:c>
      <x:c r="C660" t="str">
        <x:v>English</x:v>
      </x:c>
      <x:c r="D660" t="str">
        <x:v>Effusion</x:v>
      </x:c>
      <x:c r="E660" s="21" t="n">
        <x:v>1</x:v>
      </x:c>
      <x:c r="F660" s="21" t="n">
        <x:v>1</x:v>
      </x:c>
      <x:c r="G660" s="21" t="str">
        <x:f>IF(COUNT(F660)=0,"판정없음",IF(E660=F660,"일치",E660&amp;"→"&amp;F660))</x:f>
        <x:v>일치</x:v>
      </x:c>
      <x:c r="H660" t="str">
        <x:v>explicit_positive</x:v>
      </x:c>
      <x:c r="I660" s="9" t="str">
        <x:v>Mild to moderate knee joint effusion.</x:v>
      </x:c>
      <x:c r="J660" s="9" t="str">
        <x:v>True</x:v>
      </x:c>
      <x:c r="K660" s="9" t="str">
        <x:v>knee joint effusion</x:v>
      </x:c>
      <x:c r="L660" t="str">
        <x:v>gemma4:e4b</x:v>
      </x:c>
    </x:row>
    <x:row r="661" ht="38" customHeight="1">
      <x:c r="A661" t="n">
        <x:v>3911</x:v>
      </x:c>
      <x:c r="B661" t="str">
        <x:v>1.2.826.0.1.3680043.8.498.86968600239724310678905311244945464037</x:v>
      </x:c>
      <x:c r="C661" t="str">
        <x:v>English</x:v>
      </x:c>
      <x:c r="D661" t="str">
        <x:v>Fracture</x:v>
      </x:c>
      <x:c r="E661" s="21" t="n">
        <x:v>0</x:v>
      </x:c>
      <x:c r="F661" s="21"/>
      <x:c r="G661" s="21" t="str">
        <x:f>IF(COUNT(F661)=0,"판정없음",IF(E661=F661,"일치",E661&amp;"→"&amp;F661))</x:f>
        <x:v>판정없음</x:v>
      </x:c>
      <x:c r="H661" t="str">
        <x:v>not_mentioned</x:v>
      </x:c>
      <x:c r="I661" s="9" t="str"/>
      <x:c r="J661" s="9" t="str">
        <x:v>True</x:v>
      </x:c>
      <x:c r="K661" s="9" t="str"/>
      <x:c r="L661" t="str">
        <x:v>gemma4:e4b</x:v>
      </x:c>
    </x:row>
    <x:row r="662" ht="38" customHeight="1">
      <x:c r="A662" t="n">
        <x:v>3911</x:v>
      </x:c>
      <x:c r="B662" t="str">
        <x:v>1.2.826.0.1.3680043.8.498.86968600239724310678905311244945464037</x:v>
      </x:c>
      <x:c r="C662" t="str">
        <x:v>English</x:v>
      </x:c>
      <x:c r="D662" t="str">
        <x:v>Lateral Meniscus</x:v>
      </x:c>
      <x:c r="E662" s="21" t="n">
        <x:v>0</x:v>
      </x:c>
      <x:c r="F662" s="21"/>
      <x:c r="G662" s="21" t="str">
        <x:f>IF(COUNT(F662)=0,"판정없음",IF(E662=F662,"일치",E662&amp;"→"&amp;F662))</x:f>
        <x:v>판정없음</x:v>
      </x:c>
      <x:c r="H662" t="str">
        <x:v>uncertain_or_indirect</x:v>
      </x:c>
      <x:c r="I662" s="9" t="str">
        <x:v>Suspected meniscocapsular separation over posterior horn of lateral meniscus.</x:v>
      </x:c>
      <x:c r="J662" s="9" t="str">
        <x:v>True</x:v>
      </x:c>
      <x:c r="K662" s="9" t="str">
        <x:v>posterior horn of lateral meniscus</x:v>
      </x:c>
      <x:c r="L662" t="str">
        <x:v>gemma4:e4b</x:v>
      </x:c>
    </x:row>
    <x:row r="663" ht="38" customHeight="1">
      <x:c r="A663" t="n">
        <x:v>3911</x:v>
      </x:c>
      <x:c r="B663" t="str">
        <x:v>1.2.826.0.1.3680043.8.498.86968600239724310678905311244945464037</x:v>
      </x:c>
      <x:c r="C663" t="str">
        <x:v>English</x:v>
      </x:c>
      <x:c r="D663" t="str">
        <x:v>Lateral OA</x:v>
      </x:c>
      <x:c r="E663" s="21" t="n">
        <x:v>0</x:v>
      </x:c>
      <x:c r="F663" s="21"/>
      <x:c r="G663" s="21" t="str">
        <x:f>IF(COUNT(F663)=0,"판정없음",IF(E663=F663,"일치",E663&amp;"→"&amp;F663))</x:f>
        <x:v>판정없음</x:v>
      </x:c>
      <x:c r="H663" t="str">
        <x:v>not_mentioned</x:v>
      </x:c>
      <x:c r="I663" s="9" t="str"/>
      <x:c r="J663" s="9" t="str">
        <x:v>True</x:v>
      </x:c>
      <x:c r="K663" s="9" t="str"/>
      <x:c r="L663" t="str">
        <x:v>gemma4:e4b</x:v>
      </x:c>
    </x:row>
    <x:row r="664" ht="38" customHeight="1">
      <x:c r="A664" t="n">
        <x:v>3911</x:v>
      </x:c>
      <x:c r="B664" t="str">
        <x:v>1.2.826.0.1.3680043.8.498.86968600239724310678905311244945464037</x:v>
      </x:c>
      <x:c r="C664" t="str">
        <x:v>English</x:v>
      </x:c>
      <x:c r="D664" t="str">
        <x:v>MCL</x:v>
      </x:c>
      <x:c r="E664" s="21" t="n">
        <x:v>0</x:v>
      </x:c>
      <x:c r="F664" s="21" t="n">
        <x:v>0</x:v>
      </x:c>
      <x:c r="G664" s="21" t="str">
        <x:f>IF(COUNT(F664)=0,"판정없음",IF(E664=F664,"일치",E664&amp;"→"&amp;F664))</x:f>
        <x:v>일치</x:v>
      </x:c>
      <x:c r="H664" t="str">
        <x:v>explicit_negative</x:v>
      </x:c>
      <x:c r="I664" s="9" t="str">
        <x:v>The medial &amp; lateral collateral ligaments, quadriceps &amp; patellar tendons show intact appearance.</x:v>
      </x:c>
      <x:c r="J664" s="9" t="str">
        <x:v>True</x:v>
      </x:c>
      <x:c r="K664" s="9" t="str"/>
      <x:c r="L664" t="str">
        <x:v>gemma4:e4b</x:v>
      </x:c>
    </x:row>
    <x:row r="665" ht="38" customHeight="1">
      <x:c r="A665" t="n">
        <x:v>3911</x:v>
      </x:c>
      <x:c r="B665" t="str">
        <x:v>1.2.826.0.1.3680043.8.498.86968600239724310678905311244945464037</x:v>
      </x:c>
      <x:c r="C665" t="str">
        <x:v>English</x:v>
      </x:c>
      <x:c r="D665" t="str">
        <x:v>Medial Meniscus</x:v>
      </x:c>
      <x:c r="E665" s="21" t="n">
        <x:v>1</x:v>
      </x:c>
      <x:c r="F665" s="21" t="n">
        <x:v>1</x:v>
      </x:c>
      <x:c r="G665" s="21" t="str">
        <x:f>IF(COUNT(F665)=0,"판정없음",IF(E665=F665,"일치",E665&amp;"→"&amp;F665))</x:f>
        <x:v>일치</x:v>
      </x:c>
      <x:c r="H665" t="str">
        <x:v>explicit_positive</x:v>
      </x:c>
      <x:c r="I665" s="9" t="str">
        <x:v>Tear of the posterior horn of medial meniscus.</x:v>
      </x:c>
      <x:c r="J665" s="9" t="str">
        <x:v>True</x:v>
      </x:c>
      <x:c r="K665" s="9" t="str">
        <x:v>posterior horn of medial meniscus</x:v>
      </x:c>
      <x:c r="L665" t="str">
        <x:v>gemma4:e4b</x:v>
      </x:c>
    </x:row>
    <x:row r="666" ht="38" customHeight="1">
      <x:c r="A666" t="n">
        <x:v>3911</x:v>
      </x:c>
      <x:c r="B666" t="str">
        <x:v>1.2.826.0.1.3680043.8.498.86968600239724310678905311244945464037</x:v>
      </x:c>
      <x:c r="C666" t="str">
        <x:v>English</x:v>
      </x:c>
      <x:c r="D666" t="str">
        <x:v>Medial OA</x:v>
      </x:c>
      <x:c r="E666" s="21" t="n">
        <x:v>0</x:v>
      </x:c>
      <x:c r="F666" s="21"/>
      <x:c r="G666" s="21" t="str">
        <x:f>IF(COUNT(F666)=0,"판정없음",IF(E666=F666,"일치",E666&amp;"→"&amp;F666))</x:f>
        <x:v>판정없음</x:v>
      </x:c>
      <x:c r="H666" t="str">
        <x:v>not_mentioned</x:v>
      </x:c>
      <x:c r="I666" s="9" t="str"/>
      <x:c r="J666" s="9" t="str">
        <x:v>True</x:v>
      </x:c>
      <x:c r="K666" s="9" t="str"/>
      <x:c r="L666" t="str">
        <x:v>gemma4:e4b</x:v>
      </x:c>
    </x:row>
    <x:row r="667" ht="38" customHeight="1">
      <x:c r="A667" t="n">
        <x:v>3911</x:v>
      </x:c>
      <x:c r="B667" t="str">
        <x:v>1.2.826.0.1.3680043.8.498.86968600239724310678905311244945464037</x:v>
      </x:c>
      <x:c r="C667" t="str">
        <x:v>English</x:v>
      </x:c>
      <x:c r="D667" t="str">
        <x:v>PF OA</x:v>
      </x:c>
      <x:c r="E667" s="21" t="n">
        <x:v>0</x:v>
      </x:c>
      <x:c r="F667" s="21"/>
      <x:c r="G667" s="21" t="str">
        <x:f>IF(COUNT(F667)=0,"판정없음",IF(E667=F667,"일치",E667&amp;"→"&amp;F667))</x:f>
        <x:v>판정없음</x:v>
      </x:c>
      <x:c r="H667" t="str">
        <x:v>not_mentioned</x:v>
      </x:c>
      <x:c r="I667" s="9" t="str"/>
      <x:c r="J667" s="9" t="str">
        <x:v>True</x:v>
      </x:c>
      <x:c r="K667" s="9" t="str"/>
      <x:c r="L667" t="str">
        <x:v>gemma4:e4b</x:v>
      </x:c>
    </x:row>
    <x:row r="668" ht="38" customHeight="1">
      <x:c r="A668" t="n">
        <x:v>3911</x:v>
      </x:c>
      <x:c r="B668" t="str">
        <x:v>1.2.826.0.1.3680043.8.498.86968600239724310678905311244945464037</x:v>
      </x:c>
      <x:c r="C668" t="str">
        <x:v>English</x:v>
      </x:c>
      <x:c r="D668" t="str">
        <x:v>Synovitis</x:v>
      </x:c>
      <x:c r="E668" s="21" t="n">
        <x:v>0</x:v>
      </x:c>
      <x:c r="F668" s="21"/>
      <x:c r="G668" s="21" t="str">
        <x:f>IF(COUNT(F668)=0,"판정없음",IF(E668=F668,"일치",E668&amp;"→"&amp;F668))</x:f>
        <x:v>판정없음</x:v>
      </x:c>
      <x:c r="H668" t="str">
        <x:v>not_mentioned</x:v>
      </x:c>
      <x:c r="I668" s="9" t="str"/>
      <x:c r="J668" s="9" t="str">
        <x:v>True</x:v>
      </x:c>
      <x:c r="K668" s="9" t="str"/>
      <x:c r="L668" t="str">
        <x:v>gemma4:e4b</x:v>
      </x:c>
    </x:row>
    <x:row r="669" ht="38" customHeight="1">
      <x:c r="A669" t="n">
        <x:v>3956</x:v>
      </x:c>
      <x:c r="B669" t="str">
        <x:v>1.2.826.0.1.3680043.8.498.88077418639301174409926781329613570435</x:v>
      </x:c>
      <x:c r="C669" t="str">
        <x:v>Croatian</x:v>
      </x:c>
      <x:c r="D669" t="str">
        <x:v>ACL</x:v>
      </x:c>
      <x:c r="E669" s="21" t="n">
        <x:v>1</x:v>
      </x:c>
      <x:c r="F669" s="21" t="n">
        <x:v>1</x:v>
      </x:c>
      <x:c r="G669" s="21" t="str">
        <x:f>IF(COUNT(F669)=0,"판정없음",IF(E669=F669,"일치",E669&amp;"→"&amp;F669))</x:f>
        <x:v>일치</x:v>
      </x:c>
      <x:c r="H669" t="str">
        <x:v>explicit_positive</x:v>
      </x:c>
      <x:c r="I669" s="9" t="str">
        <x:v>Potpuna ruptura prednjeg križnog ligamenta</x:v>
      </x:c>
      <x:c r="J669" s="9" t="str">
        <x:v>True</x:v>
      </x:c>
      <x:c r="K669" s="9" t="str"/>
      <x:c r="L669" t="str">
        <x:v>gemma4:e4b</x:v>
      </x:c>
    </x:row>
    <x:row r="670" ht="38" customHeight="1">
      <x:c r="A670" t="n">
        <x:v>3956</x:v>
      </x:c>
      <x:c r="B670" t="str">
        <x:v>1.2.826.0.1.3680043.8.498.88077418639301174409926781329613570435</x:v>
      </x:c>
      <x:c r="C670" t="str">
        <x:v>Croatian</x:v>
      </x:c>
      <x:c r="D670" t="str">
        <x:v>Baker's</x:v>
      </x:c>
      <x:c r="E670" s="21" t="n">
        <x:v>1</x:v>
      </x:c>
      <x:c r="F670" s="21" t="n">
        <x:v>1</x:v>
      </x:c>
      <x:c r="G670" s="21" t="str">
        <x:f>IF(COUNT(F670)=0,"판정없음",IF(E670=F670,"일치",E670&amp;"→"&amp;F670))</x:f>
        <x:v>일치</x:v>
      </x:c>
      <x:c r="H670" t="str">
        <x:v>explicit_positive</x:v>
      </x:c>
      <x:c r="I670" s="9" t="str">
        <x:v>Poplitealna cista promjera 5 mm.</x:v>
      </x:c>
      <x:c r="J670" s="9" t="str">
        <x:v>True</x:v>
      </x:c>
      <x:c r="K670" s="9" t="str"/>
      <x:c r="L670" t="str">
        <x:v>gemma4:e4b</x:v>
      </x:c>
    </x:row>
    <x:row r="671" ht="38" customHeight="1">
      <x:c r="A671" t="n">
        <x:v>3956</x:v>
      </x:c>
      <x:c r="B671" t="str">
        <x:v>1.2.826.0.1.3680043.8.498.88077418639301174409926781329613570435</x:v>
      </x:c>
      <x:c r="C671" t="str">
        <x:v>Croatian</x:v>
      </x:c>
      <x:c r="D671" t="str">
        <x:v>Contusion</x:v>
      </x:c>
      <x:c r="E671" s="21" t="n">
        <x:v>0</x:v>
      </x:c>
      <x:c r="F671" s="21"/>
      <x:c r="G671" s="21" t="str">
        <x:f>IF(COUNT(F671)=0,"판정없음",IF(E671=F671,"일치",E671&amp;"→"&amp;F671))</x:f>
        <x:v>판정없음</x:v>
      </x:c>
      <x:c r="H671" t="str">
        <x:v>not_mentioned</x:v>
      </x:c>
      <x:c r="I671" s="9" t="str"/>
      <x:c r="J671" s="9" t="str">
        <x:v>True</x:v>
      </x:c>
      <x:c r="K671" s="9" t="str"/>
      <x:c r="L671" t="str">
        <x:v>gemma4:e4b</x:v>
      </x:c>
    </x:row>
    <x:row r="672" ht="38" customHeight="1">
      <x:c r="A672" t="n">
        <x:v>3956</x:v>
      </x:c>
      <x:c r="B672" t="str">
        <x:v>1.2.826.0.1.3680043.8.498.88077418639301174409926781329613570435</x:v>
      </x:c>
      <x:c r="C672" t="str">
        <x:v>Croatian</x:v>
      </x:c>
      <x:c r="D672" t="str">
        <x:v>Effusion</x:v>
      </x:c>
      <x:c r="E672" s="21" t="n">
        <x:v>1</x:v>
      </x:c>
      <x:c r="F672" s="21" t="n">
        <x:v>1</x:v>
      </x:c>
      <x:c r="G672" s="21" t="str">
        <x:f>IF(COUNT(F672)=0,"판정없음",IF(E672=F672,"일치",E672&amp;"→"&amp;F672))</x:f>
        <x:v>일치</x:v>
      </x:c>
      <x:c r="H672" t="str">
        <x:v>explicit_positive</x:v>
      </x:c>
      <x:c r="I672" s="9" t="str">
        <x:v>uz opsežan zglobni izljev</x:v>
      </x:c>
      <x:c r="J672" s="9" t="str">
        <x:v>True</x:v>
      </x:c>
      <x:c r="K672" s="9" t="str"/>
      <x:c r="L672" t="str">
        <x:v>gemma4:e4b</x:v>
      </x:c>
    </x:row>
    <x:row r="673" ht="38" customHeight="1">
      <x:c r="A673" t="n">
        <x:v>3956</x:v>
      </x:c>
      <x:c r="B673" t="str">
        <x:v>1.2.826.0.1.3680043.8.498.88077418639301174409926781329613570435</x:v>
      </x:c>
      <x:c r="C673" t="str">
        <x:v>Croatian</x:v>
      </x:c>
      <x:c r="D673" t="str">
        <x:v>Fracture</x:v>
      </x:c>
      <x:c r="E673" s="21" t="n">
        <x:v>0</x:v>
      </x:c>
      <x:c r="F673" s="21"/>
      <x:c r="G673" s="21" t="str">
        <x:f>IF(COUNT(F673)=0,"판정없음",IF(E673=F673,"일치",E673&amp;"→"&amp;F673))</x:f>
        <x:v>판정없음</x:v>
      </x:c>
      <x:c r="H673" t="str">
        <x:v>not_mentioned</x:v>
      </x:c>
      <x:c r="I673" s="9" t="str"/>
      <x:c r="J673" s="9" t="str">
        <x:v>True</x:v>
      </x:c>
      <x:c r="K673" s="9" t="str"/>
      <x:c r="L673" t="str">
        <x:v>gemma4:e4b</x:v>
      </x:c>
    </x:row>
    <x:row r="674" ht="38" customHeight="1">
      <x:c r="A674" t="n">
        <x:v>3956</x:v>
      </x:c>
      <x:c r="B674" t="str">
        <x:v>1.2.826.0.1.3680043.8.498.88077418639301174409926781329613570435</x:v>
      </x:c>
      <x:c r="C674" t="str">
        <x:v>Croatian</x:v>
      </x:c>
      <x:c r="D674" t="str">
        <x:v>Lateral Meniscus</x:v>
      </x:c>
      <x:c r="E674" s="21" t="n">
        <x:v>1</x:v>
      </x:c>
      <x:c r="F674" s="21" t="n">
        <x:v>1</x:v>
      </x:c>
      <x:c r="G674" s="21" t="str">
        <x:f>IF(COUNT(F674)=0,"판정없음",IF(E674=F674,"일치",E674&amp;"→"&amp;F674))</x:f>
        <x:v>일치</x:v>
      </x:c>
      <x:c r="H674" t="str">
        <x:v>explicit_positive</x:v>
      </x:c>
      <x:c r="I674" s="9" t="str">
        <x:v>Kompleksna ruptura oba meniska</x:v>
      </x:c>
      <x:c r="J674" s="9" t="str">
        <x:v>True</x:v>
      </x:c>
      <x:c r="K674" s="9" t="str"/>
      <x:c r="L674" t="str">
        <x:v>gemma4:e4b</x:v>
      </x:c>
    </x:row>
    <x:row r="675" ht="38" customHeight="1">
      <x:c r="A675" t="n">
        <x:v>3956</x:v>
      </x:c>
      <x:c r="B675" t="str">
        <x:v>1.2.826.0.1.3680043.8.498.88077418639301174409926781329613570435</x:v>
      </x:c>
      <x:c r="C675" t="str">
        <x:v>Croatian</x:v>
      </x:c>
      <x:c r="D675" t="str">
        <x:v>Lateral OA</x:v>
      </x:c>
      <x:c r="E675" s="21" t="n">
        <x:v>1</x:v>
      </x:c>
      <x:c r="F675" s="21" t="n">
        <x:v>1</x:v>
      </x:c>
      <x:c r="G675" s="21" t="str">
        <x:f>IF(COUNT(F675)=0,"판정없음",IF(E675=F675,"일치",E675&amp;"→"&amp;F675))</x:f>
        <x:v>일치</x:v>
      </x:c>
      <x:c r="H675" t="str">
        <x:v>explicit_positive</x:v>
      </x:c>
      <x:c r="I675" s="9" t="str">
        <x:v>erozije hrskavica lateralnog kompartmenta</x:v>
      </x:c>
      <x:c r="J675" s="9" t="str">
        <x:v>True</x:v>
      </x:c>
      <x:c r="K675" s="9" t="str"/>
      <x:c r="L675" t="str">
        <x:v>gemma4:e4b</x:v>
      </x:c>
    </x:row>
    <x:row r="676" ht="38" customHeight="1">
      <x:c r="A676" t="n">
        <x:v>3956</x:v>
      </x:c>
      <x:c r="B676" t="str">
        <x:v>1.2.826.0.1.3680043.8.498.88077418639301174409926781329613570435</x:v>
      </x:c>
      <x:c r="C676" t="str">
        <x:v>Croatian</x:v>
      </x:c>
      <x:c r="D676" t="str">
        <x:v>MCL</x:v>
      </x:c>
      <x:c r="E676" s="21" t="n">
        <x:v>0</x:v>
      </x:c>
      <x:c r="F676" s="21"/>
      <x:c r="G676" s="21" t="str">
        <x:f>IF(COUNT(F676)=0,"판정없음",IF(E676=F676,"일치",E676&amp;"→"&amp;F676))</x:f>
        <x:v>판정없음</x:v>
      </x:c>
      <x:c r="H676" t="str">
        <x:v>uncertain_or_indirect</x:v>
      </x:c>
      <x:c r="I676" s="9" t="str">
        <x:v>Medijalni kolateralni ligament je vretenasto zadebljan pri hvatištu na medijalni epikondil femura</x:v>
      </x:c>
      <x:c r="J676" s="9" t="str">
        <x:v>True</x:v>
      </x:c>
      <x:c r="K676" s="9" t="str">
        <x:v>periligamentarni edem</x:v>
      </x:c>
      <x:c r="L676" t="str">
        <x:v>gemma4:e4b</x:v>
      </x:c>
    </x:row>
    <x:row r="677" ht="38" customHeight="1">
      <x:c r="A677" t="n">
        <x:v>3956</x:v>
      </x:c>
      <x:c r="B677" t="str">
        <x:v>1.2.826.0.1.3680043.8.498.88077418639301174409926781329613570435</x:v>
      </x:c>
      <x:c r="C677" t="str">
        <x:v>Croatian</x:v>
      </x:c>
      <x:c r="D677" t="str">
        <x:v>Medial Meniscus</x:v>
      </x:c>
      <x:c r="E677" s="21" t="n">
        <x:v>1</x:v>
      </x:c>
      <x:c r="F677" s="21" t="n">
        <x:v>1</x:v>
      </x:c>
      <x:c r="G677" s="21" t="str">
        <x:f>IF(COUNT(F677)=0,"판정없음",IF(E677=F677,"일치",E677&amp;"→"&amp;F677))</x:f>
        <x:v>일치</x:v>
      </x:c>
      <x:c r="H677" t="str">
        <x:v>explicit_positive</x:v>
      </x:c>
      <x:c r="I677" s="9" t="str">
        <x:v>Kompleksna ruptura oba meniska</x:v>
      </x:c>
      <x:c r="J677" s="9" t="str">
        <x:v>True</x:v>
      </x:c>
      <x:c r="K677" s="9" t="str"/>
      <x:c r="L677" t="str">
        <x:v>gemma4:e4b</x:v>
      </x:c>
    </x:row>
    <x:row r="678" ht="38" customHeight="1">
      <x:c r="A678" t="n">
        <x:v>3956</x:v>
      </x:c>
      <x:c r="B678" t="str">
        <x:v>1.2.826.0.1.3680043.8.498.88077418639301174409926781329613570435</x:v>
      </x:c>
      <x:c r="C678" t="str">
        <x:v>Croatian</x:v>
      </x:c>
      <x:c r="D678" t="str">
        <x:v>Medial OA</x:v>
      </x:c>
      <x:c r="E678" s="21" t="n">
        <x:v>1</x:v>
      </x:c>
      <x:c r="F678" s="21" t="n">
        <x:v>1</x:v>
      </x:c>
      <x:c r="G678" s="21" t="str">
        <x:f>IF(COUNT(F678)=0,"판정없음",IF(E678=F678,"일치",E678&amp;"→"&amp;F678))</x:f>
        <x:v>일치</x:v>
      </x:c>
      <x:c r="H678" t="str">
        <x:v>explicit_positive</x:v>
      </x:c>
      <x:c r="I678" s="9" t="str">
        <x:v>Denudacija hrskavice medijalnog kompartmenta FT zgloba</x:v>
      </x:c>
      <x:c r="J678" s="9" t="str">
        <x:v>True</x:v>
      </x:c>
      <x:c r="K678" s="9" t="str"/>
      <x:c r="L678" t="str">
        <x:v>gemma4:e4b</x:v>
      </x:c>
    </x:row>
    <x:row r="679" ht="38" customHeight="1">
      <x:c r="A679" t="n">
        <x:v>3956</x:v>
      </x:c>
      <x:c r="B679" t="str">
        <x:v>1.2.826.0.1.3680043.8.498.88077418639301174409926781329613570435</x:v>
      </x:c>
      <x:c r="C679" t="str">
        <x:v>Croatian</x:v>
      </x:c>
      <x:c r="D679" t="str">
        <x:v>PF OA</x:v>
      </x:c>
      <x:c r="E679" s="21" t="n">
        <x:v>1</x:v>
      </x:c>
      <x:c r="F679" s="21" t="n">
        <x:v>1</x:v>
      </x:c>
      <x:c r="G679" s="21" t="str">
        <x:f>IF(COUNT(F679)=0,"판정없음",IF(E679=F679,"일치",E679&amp;"→"&amp;F679))</x:f>
        <x:v>일치</x:v>
      </x:c>
      <x:c r="H679" t="str">
        <x:v>explicit_positive</x:v>
      </x:c>
      <x:c r="I679" s="9" t="str">
        <x:v>Hondromalacija III° obje fasete patele i trohleje femura, uz reduciranu debljinu navedenih hrskavica te opsežne osteofite FP zgloba</x:v>
      </x:c>
      <x:c r="J679" s="9" t="str">
        <x:v>True</x:v>
      </x:c>
      <x:c r="K679" s="9" t="str">
        <x:v>opsežne osteofite FP zgloba</x:v>
      </x:c>
      <x:c r="L679" t="str">
        <x:v>gemma4:e4b</x:v>
      </x:c>
    </x:row>
    <x:row r="680" ht="38" customHeight="1">
      <x:c r="A680" t="n">
        <x:v>3956</x:v>
      </x:c>
      <x:c r="B680" t="str">
        <x:v>1.2.826.0.1.3680043.8.498.88077418639301174409926781329613570435</x:v>
      </x:c>
      <x:c r="C680" t="str">
        <x:v>Croatian</x:v>
      </x:c>
      <x:c r="D680" t="str">
        <x:v>Synovitis</x:v>
      </x:c>
      <x:c r="E680" s="21" t="n">
        <x:v>1</x:v>
      </x:c>
      <x:c r="F680" s="21" t="n">
        <x:v>1</x:v>
      </x:c>
      <x:c r="G680" s="21" t="str">
        <x:f>IF(COUNT(F680)=0,"판정없음",IF(E680=F680,"일치",E680&amp;"→"&amp;F680))</x:f>
        <x:v>일치</x:v>
      </x:c>
      <x:c r="H680" t="str">
        <x:v>explicit_positive</x:v>
      </x:c>
      <x:c r="I680" s="9" t="str">
        <x:v>umjerenu proliferaciju sinovije</x:v>
      </x:c>
      <x:c r="J680" s="9" t="str">
        <x:v>True</x:v>
      </x:c>
      <x:c r="K680" s="9" t="str"/>
      <x:c r="L680" t="str">
        <x:v>gemma4:e4b</x:v>
      </x:c>
    </x:row>
    <x:row r="681" ht="38" customHeight="1">
      <x:c r="A681" t="n">
        <x:v>4043</x:v>
      </x:c>
      <x:c r="B681" t="str">
        <x:v>1.2.826.0.1.3680043.8.498.90283565381042081768587894596970552767</x:v>
      </x:c>
      <x:c r="C681" t="str">
        <x:v>Spanish</x:v>
      </x:c>
      <x:c r="D681" t="str">
        <x:v>ACL</x:v>
      </x:c>
      <x:c r="E681" s="21" t="n">
        <x:v>0</x:v>
      </x:c>
      <x:c r="F681" s="21"/>
      <x:c r="G681" s="21" t="str">
        <x:f>IF(COUNT(F681)=0,"판정없음",IF(E681=F681,"일치",E681&amp;"→"&amp;F681))</x:f>
        <x:v>판정없음</x:v>
      </x:c>
      <x:c r="H681" t="str">
        <x:v>not_mentioned</x:v>
      </x:c>
      <x:c r="I681" s="9" t="str"/>
      <x:c r="J681" s="9" t="str">
        <x:v>True</x:v>
      </x:c>
      <x:c r="K681" s="9" t="str"/>
      <x:c r="L681" t="str">
        <x:v>gemma4:e4b</x:v>
      </x:c>
    </x:row>
    <x:row r="682" ht="38" customHeight="1">
      <x:c r="A682" t="n">
        <x:v>4043</x:v>
      </x:c>
      <x:c r="B682" t="str">
        <x:v>1.2.826.0.1.3680043.8.498.90283565381042081768587894596970552767</x:v>
      </x:c>
      <x:c r="C682" t="str">
        <x:v>Spanish</x:v>
      </x:c>
      <x:c r="D682" t="str">
        <x:v>Baker's</x:v>
      </x:c>
      <x:c r="E682" s="21" t="n">
        <x:v>0</x:v>
      </x:c>
      <x:c r="F682" s="21"/>
      <x:c r="G682" s="21" t="str">
        <x:f>IF(COUNT(F682)=0,"판정없음",IF(E682=F682,"일치",E682&amp;"→"&amp;F682))</x:f>
        <x:v>판정없음</x:v>
      </x:c>
      <x:c r="H682" t="str">
        <x:v>not_mentioned</x:v>
      </x:c>
      <x:c r="I682" s="9" t="str"/>
      <x:c r="J682" s="9" t="str">
        <x:v>True</x:v>
      </x:c>
      <x:c r="K682" s="9" t="str"/>
      <x:c r="L682" t="str">
        <x:v>gemma4:e4b</x:v>
      </x:c>
    </x:row>
    <x:row r="683" ht="38" customHeight="1">
      <x:c r="A683" t="n">
        <x:v>4043</x:v>
      </x:c>
      <x:c r="B683" t="str">
        <x:v>1.2.826.0.1.3680043.8.498.90283565381042081768587894596970552767</x:v>
      </x:c>
      <x:c r="C683" t="str">
        <x:v>Spanish</x:v>
      </x:c>
      <x:c r="D683" t="str">
        <x:v>Contusion</x:v>
      </x:c>
      <x:c r="E683" s="21" t="n">
        <x:v>0</x:v>
      </x:c>
      <x:c r="F683" s="21"/>
      <x:c r="G683" s="21" t="str">
        <x:f>IF(COUNT(F683)=0,"판정없음",IF(E683=F683,"일치",E683&amp;"→"&amp;F683))</x:f>
        <x:v>판정없음</x:v>
      </x:c>
      <x:c r="H683" t="str">
        <x:v>not_mentioned</x:v>
      </x:c>
      <x:c r="I683" s="9" t="str"/>
      <x:c r="J683" s="9" t="str">
        <x:v>True</x:v>
      </x:c>
      <x:c r="K683" s="9" t="str"/>
      <x:c r="L683" t="str">
        <x:v>gemma4:e4b</x:v>
      </x:c>
    </x:row>
    <x:row r="684" ht="38" customHeight="1">
      <x:c r="A684" t="n">
        <x:v>4043</x:v>
      </x:c>
      <x:c r="B684" t="str">
        <x:v>1.2.826.0.1.3680043.8.498.90283565381042081768587894596970552767</x:v>
      </x:c>
      <x:c r="C684" t="str">
        <x:v>Spanish</x:v>
      </x:c>
      <x:c r="D684" t="str">
        <x:v>Effusion</x:v>
      </x:c>
      <x:c r="E684" s="21" t="n">
        <x:v>1</x:v>
      </x:c>
      <x:c r="F684" s="21" t="n">
        <x:v>1</x:v>
      </x:c>
      <x:c r="G684" s="21" t="str">
        <x:f>IF(COUNT(F684)=0,"판정없음",IF(E684=F684,"일치",E684&amp;"→"&amp;F684))</x:f>
        <x:v>일치</x:v>
      </x:c>
      <x:c r="H684" t="str">
        <x:v>explicit_positive</x:v>
      </x:c>
      <x:c r="I684" s="9" t="str">
        <x:v>Derrame con sinovitis</x:v>
      </x:c>
      <x:c r="J684" s="9" t="str">
        <x:v>True</x:v>
      </x:c>
      <x:c r="K684" s="9" t="str"/>
      <x:c r="L684" t="str">
        <x:v>gemma4:e4b</x:v>
      </x:c>
    </x:row>
    <x:row r="685" ht="38" customHeight="1">
      <x:c r="A685" t="n">
        <x:v>4043</x:v>
      </x:c>
      <x:c r="B685" t="str">
        <x:v>1.2.826.0.1.3680043.8.498.90283565381042081768587894596970552767</x:v>
      </x:c>
      <x:c r="C685" t="str">
        <x:v>Spanish</x:v>
      </x:c>
      <x:c r="D685" t="str">
        <x:v>Fracture</x:v>
      </x:c>
      <x:c r="E685" s="21" t="n">
        <x:v>0</x:v>
      </x:c>
      <x:c r="F685" s="21"/>
      <x:c r="G685" s="21" t="str">
        <x:f>IF(COUNT(F685)=0,"판정없음",IF(E685=F685,"일치",E685&amp;"→"&amp;F685))</x:f>
        <x:v>판정없음</x:v>
      </x:c>
      <x:c r="H685" t="str">
        <x:v>not_mentioned</x:v>
      </x:c>
      <x:c r="I685" s="9" t="str"/>
      <x:c r="J685" s="9" t="str">
        <x:v>True</x:v>
      </x:c>
      <x:c r="K685" s="9" t="str"/>
      <x:c r="L685" t="str">
        <x:v>gemma4:e4b</x:v>
      </x:c>
    </x:row>
    <x:row r="686" ht="38" customHeight="1">
      <x:c r="A686" t="n">
        <x:v>4043</x:v>
      </x:c>
      <x:c r="B686" t="str">
        <x:v>1.2.826.0.1.3680043.8.498.90283565381042081768587894596970552767</x:v>
      </x:c>
      <x:c r="C686" t="str">
        <x:v>Spanish</x:v>
      </x:c>
      <x:c r="D686" t="str">
        <x:v>Lateral Meniscus</x:v>
      </x:c>
      <x:c r="E686" s="21" t="n">
        <x:v>0</x:v>
      </x:c>
      <x:c r="F686" s="21"/>
      <x:c r="G686" s="21" t="str">
        <x:f>IF(COUNT(F686)=0,"판정없음",IF(E686=F686,"일치",E686&amp;"→"&amp;F686))</x:f>
        <x:v>판정없음</x:v>
      </x:c>
      <x:c r="H686" t="str">
        <x:v>not_mentioned</x:v>
      </x:c>
      <x:c r="I686" s="9" t="str"/>
      <x:c r="J686" s="9" t="str">
        <x:v>True</x:v>
      </x:c>
      <x:c r="K686" s="9" t="str"/>
      <x:c r="L686" t="str">
        <x:v>gemma4:e4b</x:v>
      </x:c>
    </x:row>
    <x:row r="687" ht="38" customHeight="1">
      <x:c r="A687" t="n">
        <x:v>4043</x:v>
      </x:c>
      <x:c r="B687" t="str">
        <x:v>1.2.826.0.1.3680043.8.498.90283565381042081768587894596970552767</x:v>
      </x:c>
      <x:c r="C687" t="str">
        <x:v>Spanish</x:v>
      </x:c>
      <x:c r="D687" t="str">
        <x:v>Lateral OA</x:v>
      </x:c>
      <x:c r="E687" s="21" t="n">
        <x:v>0</x:v>
      </x:c>
      <x:c r="F687" s="21" t="n">
        <x:v>1</x:v>
      </x:c>
      <x:c r="G687" s="21" t="str">
        <x:f>IF(COUNT(F687)=0,"판정없음",IF(E687=F687,"일치",E687&amp;"→"&amp;F687))</x:f>
        <x:v>0→1</x:v>
      </x:c>
      <x:c r="H687" t="str">
        <x:v>explicit_positive</x:v>
      </x:c>
      <x:c r="I687" s="9" t="str">
        <x:v>OA femorotibial lateral</x:v>
      </x:c>
      <x:c r="J687" s="9" t="str">
        <x:v>False</x:v>
      </x:c>
      <x:c r="K687" s="9" t="str">
        <x:v>femorotibial lateral</x:v>
      </x:c>
      <x:c r="L687" t="str">
        <x:v>gemma4:e4b</x:v>
      </x:c>
    </x:row>
    <x:row r="688" ht="38" customHeight="1">
      <x:c r="A688" t="n">
        <x:v>4043</x:v>
      </x:c>
      <x:c r="B688" t="str">
        <x:v>1.2.826.0.1.3680043.8.498.90283565381042081768587894596970552767</x:v>
      </x:c>
      <x:c r="C688" t="str">
        <x:v>Spanish</x:v>
      </x:c>
      <x:c r="D688" t="str">
        <x:v>MCL</x:v>
      </x:c>
      <x:c r="E688" s="21" t="n">
        <x:v>0</x:v>
      </x:c>
      <x:c r="F688" s="21"/>
      <x:c r="G688" s="21" t="str">
        <x:f>IF(COUNT(F688)=0,"판정없음",IF(E688=F688,"일치",E688&amp;"→"&amp;F688))</x:f>
        <x:v>판정없음</x:v>
      </x:c>
      <x:c r="H688" t="str">
        <x:v>not_mentioned</x:v>
      </x:c>
      <x:c r="I688" s="9" t="str"/>
      <x:c r="J688" s="9" t="str">
        <x:v>True</x:v>
      </x:c>
      <x:c r="K688" s="9" t="str"/>
      <x:c r="L688" t="str">
        <x:v>gemma4:e4b</x:v>
      </x:c>
    </x:row>
    <x:row r="689" ht="38" customHeight="1">
      <x:c r="A689" t="n">
        <x:v>4043</x:v>
      </x:c>
      <x:c r="B689" t="str">
        <x:v>1.2.826.0.1.3680043.8.498.90283565381042081768587894596970552767</x:v>
      </x:c>
      <x:c r="C689" t="str">
        <x:v>Spanish</x:v>
      </x:c>
      <x:c r="D689" t="str">
        <x:v>Medial Meniscus</x:v>
      </x:c>
      <x:c r="E689" s="21" t="n">
        <x:v>0</x:v>
      </x:c>
      <x:c r="F689" s="21"/>
      <x:c r="G689" s="21" t="str">
        <x:f>IF(COUNT(F689)=0,"판정없음",IF(E689=F689,"일치",E689&amp;"→"&amp;F689))</x:f>
        <x:v>판정없음</x:v>
      </x:c>
      <x:c r="H689" t="str">
        <x:v>uncertain_or_indirect</x:v>
      </x:c>
      <x:c r="I689" s="9" t="str">
        <x:v>Cambios de señal en el menisco interno sin signos de desgarro</x:v>
      </x:c>
      <x:c r="J689" s="9" t="str">
        <x:v>True</x:v>
      </x:c>
      <x:c r="K689" s="9" t="str">
        <x:v>menisco interno</x:v>
      </x:c>
      <x:c r="L689" t="str">
        <x:v>gemma4:e4b</x:v>
      </x:c>
    </x:row>
    <x:row r="690" ht="38" customHeight="1">
      <x:c r="A690" t="n">
        <x:v>4043</x:v>
      </x:c>
      <x:c r="B690" t="str">
        <x:v>1.2.826.0.1.3680043.8.498.90283565381042081768587894596970552767</x:v>
      </x:c>
      <x:c r="C690" t="str">
        <x:v>Spanish</x:v>
      </x:c>
      <x:c r="D690" t="str">
        <x:v>Medial OA</x:v>
      </x:c>
      <x:c r="E690" s="21" t="n">
        <x:v>0</x:v>
      </x:c>
      <x:c r="F690" s="21" t="n">
        <x:v>1</x:v>
      </x:c>
      <x:c r="G690" s="21" t="str">
        <x:f>IF(COUNT(F690)=0,"판정없음",IF(E690=F690,"일치",E690&amp;"→"&amp;F690))</x:f>
        <x:v>0→1</x:v>
      </x:c>
      <x:c r="H690" t="str">
        <x:v>explicit_positive</x:v>
      </x:c>
      <x:c r="I690" s="9" t="str">
        <x:v>OA femorotibial medial</x:v>
      </x:c>
      <x:c r="J690" s="9" t="str">
        <x:v>True</x:v>
      </x:c>
      <x:c r="K690" s="9" t="str">
        <x:v>femorotibial medial</x:v>
      </x:c>
      <x:c r="L690" t="str">
        <x:v>gemma4:e4b</x:v>
      </x:c>
    </x:row>
    <x:row r="691" ht="38" customHeight="1">
      <x:c r="A691" t="n">
        <x:v>4043</x:v>
      </x:c>
      <x:c r="B691" t="str">
        <x:v>1.2.826.0.1.3680043.8.498.90283565381042081768587894596970552767</x:v>
      </x:c>
      <x:c r="C691" t="str">
        <x:v>Spanish</x:v>
      </x:c>
      <x:c r="D691" t="str">
        <x:v>PF OA</x:v>
      </x:c>
      <x:c r="E691" s="21" t="n">
        <x:v>1</x:v>
      </x:c>
      <x:c r="F691" s="21" t="n">
        <x:v>1</x:v>
      </x:c>
      <x:c r="G691" s="21" t="str">
        <x:f>IF(COUNT(F691)=0,"판정없음",IF(E691=F691,"일치",E691&amp;"→"&amp;F691))</x:f>
        <x:v>일치</x:v>
      </x:c>
      <x:c r="H691" t="str">
        <x:v>explicit_positive</x:v>
      </x:c>
      <x:c r="I691" s="9" t="str">
        <x:v>OA patelofemoral</x:v>
      </x:c>
      <x:c r="J691" s="9" t="str">
        <x:v>True</x:v>
      </x:c>
      <x:c r="K691" s="9" t="str">
        <x:v>patelofemoral</x:v>
      </x:c>
      <x:c r="L691" t="str">
        <x:v>gemma4:e4b</x:v>
      </x:c>
    </x:row>
    <x:row r="692" ht="38" customHeight="1">
      <x:c r="A692" t="n">
        <x:v>4043</x:v>
      </x:c>
      <x:c r="B692" t="str">
        <x:v>1.2.826.0.1.3680043.8.498.90283565381042081768587894596970552767</x:v>
      </x:c>
      <x:c r="C692" t="str">
        <x:v>Spanish</x:v>
      </x:c>
      <x:c r="D692" t="str">
        <x:v>Synovitis</x:v>
      </x:c>
      <x:c r="E692" s="21" t="n">
        <x:v>1</x:v>
      </x:c>
      <x:c r="F692" s="21" t="n">
        <x:v>1</x:v>
      </x:c>
      <x:c r="G692" s="21" t="str">
        <x:f>IF(COUNT(F692)=0,"판정없음",IF(E692=F692,"일치",E692&amp;"→"&amp;F692))</x:f>
        <x:v>일치</x:v>
      </x:c>
      <x:c r="H692" t="str">
        <x:v>explicit_positive</x:v>
      </x:c>
      <x:c r="I692" s="9" t="str">
        <x:v>Derrame con sinovitis</x:v>
      </x:c>
      <x:c r="J692" s="9" t="str">
        <x:v>True</x:v>
      </x:c>
      <x:c r="K692" s="9" t="str"/>
      <x:c r="L692" t="str">
        <x:v>gemma4:e4b</x:v>
      </x:c>
    </x:row>
    <x:row r="693" ht="38" customHeight="1">
      <x:c r="A693" t="n">
        <x:v>4187</x:v>
      </x:c>
      <x:c r="B693" t="str">
        <x:v>1.2.826.0.1.3680043.8.498.94433753471890306108089557761231739312</x:v>
      </x:c>
      <x:c r="C693" t="str">
        <x:v>English</x:v>
      </x:c>
      <x:c r="D693" t="str">
        <x:v>ACL</x:v>
      </x:c>
      <x:c r="E693" s="21" t="n">
        <x:v>0</x:v>
      </x:c>
      <x:c r="F693" s="21" t="n">
        <x:v>0</x:v>
      </x:c>
      <x:c r="G693" s="21" t="str">
        <x:f>IF(COUNT(F693)=0,"판정없음",IF(E693=F693,"일치",E693&amp;"→"&amp;F693))</x:f>
        <x:v>일치</x:v>
      </x:c>
      <x:c r="H693" t="str">
        <x:v>explicit_negative</x:v>
      </x:c>
      <x:c r="I693" s="9" t="str">
        <x:v>Normal ACL</x:v>
      </x:c>
      <x:c r="J693" s="9" t="str">
        <x:v>True</x:v>
      </x:c>
      <x:c r="K693" s="9" t="str"/>
      <x:c r="L693" t="str">
        <x:v>gemma4:e4b</x:v>
      </x:c>
    </x:row>
    <x:row r="694" ht="38" customHeight="1">
      <x:c r="A694" t="n">
        <x:v>4187</x:v>
      </x:c>
      <x:c r="B694" t="str">
        <x:v>1.2.826.0.1.3680043.8.498.94433753471890306108089557761231739312</x:v>
      </x:c>
      <x:c r="C694" t="str">
        <x:v>English</x:v>
      </x:c>
      <x:c r="D694" t="str">
        <x:v>Baker's</x:v>
      </x:c>
      <x:c r="E694" s="21" t="n">
        <x:v>1</x:v>
      </x:c>
      <x:c r="F694" s="21"/>
      <x:c r="G694" s="21" t="str">
        <x:f>IF(COUNT(F694)=0,"판정없음",IF(E694=F694,"일치",E694&amp;"→"&amp;F694))</x:f>
        <x:v>판정없음</x:v>
      </x:c>
      <x:c r="H694" t="str">
        <x:v>not_mentioned</x:v>
      </x:c>
      <x:c r="I694" s="9" t="str"/>
      <x:c r="J694" s="9" t="str">
        <x:v>True</x:v>
      </x:c>
      <x:c r="K694" s="9" t="str"/>
      <x:c r="L694" t="str">
        <x:v>gemma4:e4b</x:v>
      </x:c>
    </x:row>
    <x:row r="695" ht="38" customHeight="1">
      <x:c r="A695" t="n">
        <x:v>4187</x:v>
      </x:c>
      <x:c r="B695" t="str">
        <x:v>1.2.826.0.1.3680043.8.498.94433753471890306108089557761231739312</x:v>
      </x:c>
      <x:c r="C695" t="str">
        <x:v>English</x:v>
      </x:c>
      <x:c r="D695" t="str">
        <x:v>Contusion</x:v>
      </x:c>
      <x:c r="E695" s="21" t="n">
        <x:v>0</x:v>
      </x:c>
      <x:c r="F695" s="21"/>
      <x:c r="G695" s="21" t="str">
        <x:f>IF(COUNT(F695)=0,"판정없음",IF(E695=F695,"일치",E695&amp;"→"&amp;F695))</x:f>
        <x:v>판정없음</x:v>
      </x:c>
      <x:c r="H695" t="str">
        <x:v>not_mentioned</x:v>
      </x:c>
      <x:c r="I695" s="9" t="str"/>
      <x:c r="J695" s="9" t="str">
        <x:v>True</x:v>
      </x:c>
      <x:c r="K695" s="9" t="str"/>
      <x:c r="L695" t="str">
        <x:v>gemma4:e4b</x:v>
      </x:c>
    </x:row>
    <x:row r="696" ht="38" customHeight="1">
      <x:c r="A696" t="n">
        <x:v>4187</x:v>
      </x:c>
      <x:c r="B696" t="str">
        <x:v>1.2.826.0.1.3680043.8.498.94433753471890306108089557761231739312</x:v>
      </x:c>
      <x:c r="C696" t="str">
        <x:v>English</x:v>
      </x:c>
      <x:c r="D696" t="str">
        <x:v>Effusion</x:v>
      </x:c>
      <x:c r="E696" s="21" t="n">
        <x:v>0</x:v>
      </x:c>
      <x:c r="F696" s="21" t="n">
        <x:v>0</x:v>
      </x:c>
      <x:c r="G696" s="21" t="str">
        <x:f>IF(COUNT(F696)=0,"판정없음",IF(E696=F696,"일치",E696&amp;"→"&amp;F696))</x:f>
        <x:v>일치</x:v>
      </x:c>
      <x:c r="H696" t="str">
        <x:v>explicit_negative</x:v>
      </x:c>
      <x:c r="I696" s="9" t="str">
        <x:v>No significant knee effusion.</x:v>
      </x:c>
      <x:c r="J696" s="9" t="str">
        <x:v>True</x:v>
      </x:c>
      <x:c r="K696" s="9" t="str"/>
      <x:c r="L696" t="str">
        <x:v>gemma4:e4b</x:v>
      </x:c>
    </x:row>
    <x:row r="697" ht="38" customHeight="1">
      <x:c r="A697" t="n">
        <x:v>4187</x:v>
      </x:c>
      <x:c r="B697" t="str">
        <x:v>1.2.826.0.1.3680043.8.498.94433753471890306108089557761231739312</x:v>
      </x:c>
      <x:c r="C697" t="str">
        <x:v>English</x:v>
      </x:c>
      <x:c r="D697" t="str">
        <x:v>Fracture</x:v>
      </x:c>
      <x:c r="E697" s="21" t="n">
        <x:v>0</x:v>
      </x:c>
      <x:c r="F697" s="21"/>
      <x:c r="G697" s="21" t="str">
        <x:f>IF(COUNT(F697)=0,"판정없음",IF(E697=F697,"일치",E697&amp;"→"&amp;F697))</x:f>
        <x:v>판정없음</x:v>
      </x:c>
      <x:c r="H697" t="str">
        <x:v>not_mentioned</x:v>
      </x:c>
      <x:c r="I697" s="9" t="str"/>
      <x:c r="J697" s="9" t="str">
        <x:v>True</x:v>
      </x:c>
      <x:c r="K697" s="9" t="str"/>
      <x:c r="L697" t="str">
        <x:v>gemma4:e4b</x:v>
      </x:c>
    </x:row>
    <x:row r="698" ht="38" customHeight="1">
      <x:c r="A698" t="n">
        <x:v>4187</x:v>
      </x:c>
      <x:c r="B698" t="str">
        <x:v>1.2.826.0.1.3680043.8.498.94433753471890306108089557761231739312</x:v>
      </x:c>
      <x:c r="C698" t="str">
        <x:v>English</x:v>
      </x:c>
      <x:c r="D698" t="str">
        <x:v>Lateral Meniscus</x:v>
      </x:c>
      <x:c r="E698" s="21" t="n">
        <x:v>0</x:v>
      </x:c>
      <x:c r="F698" s="21" t="n">
        <x:v>0</x:v>
      </x:c>
      <x:c r="G698" s="21" t="str">
        <x:f>IF(COUNT(F698)=0,"판정없음",IF(E698=F698,"일치",E698&amp;"→"&amp;F698))</x:f>
        <x:v>일치</x:v>
      </x:c>
      <x:c r="H698" t="str">
        <x:v>explicit_negative</x:v>
      </x:c>
      <x:c r="I698" s="9" t="str">
        <x:v>Normal medial and lateral menisci. No evidence of tears.</x:v>
      </x:c>
      <x:c r="J698" s="9" t="str">
        <x:v>True</x:v>
      </x:c>
      <x:c r="K698" s="9" t="str"/>
      <x:c r="L698" t="str">
        <x:v>gemma4:e4b</x:v>
      </x:c>
    </x:row>
    <x:row r="699" ht="38" customHeight="1">
      <x:c r="A699" t="n">
        <x:v>4187</x:v>
      </x:c>
      <x:c r="B699" t="str">
        <x:v>1.2.826.0.1.3680043.8.498.94433753471890306108089557761231739312</x:v>
      </x:c>
      <x:c r="C699" t="str">
        <x:v>English</x:v>
      </x:c>
      <x:c r="D699" t="str">
        <x:v>Lateral OA</x:v>
      </x:c>
      <x:c r="E699" s="21" t="n">
        <x:v>0</x:v>
      </x:c>
      <x:c r="F699" s="21" t="n">
        <x:v>0</x:v>
      </x:c>
      <x:c r="G699" s="21" t="str">
        <x:f>IF(COUNT(F699)=0,"판정없음",IF(E699=F699,"일치",E699&amp;"→"&amp;F699))</x:f>
        <x:v>일치</x:v>
      </x:c>
      <x:c r="H699" t="str">
        <x:v>explicit_negative</x:v>
      </x:c>
      <x:c r="I699" s="9" t="str">
        <x:v>The tibiofemoral and patellofemoral articular cartilage is normal.</x:v>
      </x:c>
      <x:c r="J699" s="9" t="str">
        <x:v>True</x:v>
      </x:c>
      <x:c r="K699" s="9" t="str"/>
      <x:c r="L699" t="str">
        <x:v>gemma4:e4b</x:v>
      </x:c>
    </x:row>
    <x:row r="700" ht="38" customHeight="1">
      <x:c r="A700" t="n">
        <x:v>4187</x:v>
      </x:c>
      <x:c r="B700" t="str">
        <x:v>1.2.826.0.1.3680043.8.498.94433753471890306108089557761231739312</x:v>
      </x:c>
      <x:c r="C700" t="str">
        <x:v>English</x:v>
      </x:c>
      <x:c r="D700" t="str">
        <x:v>MCL</x:v>
      </x:c>
      <x:c r="E700" s="21" t="n">
        <x:v>0</x:v>
      </x:c>
      <x:c r="F700" s="21" t="n">
        <x:v>0</x:v>
      </x:c>
      <x:c r="G700" s="21" t="str">
        <x:f>IF(COUNT(F700)=0,"판정없음",IF(E700=F700,"일치",E700&amp;"→"&amp;F700))</x:f>
        <x:v>일치</x:v>
      </x:c>
      <x:c r="H700" t="str">
        <x:v>explicit_negative</x:v>
      </x:c>
      <x:c r="I700" s="9" t="str">
        <x:v>Normal MCL</x:v>
      </x:c>
      <x:c r="J700" s="9" t="str">
        <x:v>False</x:v>
      </x:c>
      <x:c r="K700" s="9" t="str"/>
      <x:c r="L700" t="str">
        <x:v>gemma4:e4b</x:v>
      </x:c>
    </x:row>
    <x:row r="701" ht="38" customHeight="1">
      <x:c r="A701" t="n">
        <x:v>4187</x:v>
      </x:c>
      <x:c r="B701" t="str">
        <x:v>1.2.826.0.1.3680043.8.498.94433753471890306108089557761231739312</x:v>
      </x:c>
      <x:c r="C701" t="str">
        <x:v>English</x:v>
      </x:c>
      <x:c r="D701" t="str">
        <x:v>Medial Meniscus</x:v>
      </x:c>
      <x:c r="E701" s="21" t="n">
        <x:v>0</x:v>
      </x:c>
      <x:c r="F701" s="21" t="n">
        <x:v>0</x:v>
      </x:c>
      <x:c r="G701" s="21" t="str">
        <x:f>IF(COUNT(F701)=0,"판정없음",IF(E701=F701,"일치",E701&amp;"→"&amp;F701))</x:f>
        <x:v>일치</x:v>
      </x:c>
      <x:c r="H701" t="str">
        <x:v>explicit_negative</x:v>
      </x:c>
      <x:c r="I701" s="9" t="str">
        <x:v>Normal medial and lateral menisci. No evidence of tears.</x:v>
      </x:c>
      <x:c r="J701" s="9" t="str">
        <x:v>True</x:v>
      </x:c>
      <x:c r="K701" s="9" t="str"/>
      <x:c r="L701" t="str">
        <x:v>gemma4:e4b</x:v>
      </x:c>
    </x:row>
    <x:row r="702" ht="38" customHeight="1">
      <x:c r="A702" t="n">
        <x:v>4187</x:v>
      </x:c>
      <x:c r="B702" t="str">
        <x:v>1.2.826.0.1.3680043.8.498.94433753471890306108089557761231739312</x:v>
      </x:c>
      <x:c r="C702" t="str">
        <x:v>English</x:v>
      </x:c>
      <x:c r="D702" t="str">
        <x:v>Medial OA</x:v>
      </x:c>
      <x:c r="E702" s="21" t="n">
        <x:v>0</x:v>
      </x:c>
      <x:c r="F702" s="21" t="n">
        <x:v>0</x:v>
      </x:c>
      <x:c r="G702" s="21" t="str">
        <x:f>IF(COUNT(F702)=0,"판정없음",IF(E702=F702,"일치",E702&amp;"→"&amp;F702))</x:f>
        <x:v>일치</x:v>
      </x:c>
      <x:c r="H702" t="str">
        <x:v>explicit_negative</x:v>
      </x:c>
      <x:c r="I702" s="9" t="str">
        <x:v>The tibiofemoral and patellofemoral articular cartilage is normal.</x:v>
      </x:c>
      <x:c r="J702" s="9" t="str">
        <x:v>True</x:v>
      </x:c>
      <x:c r="K702" s="9" t="str"/>
      <x:c r="L702" t="str">
        <x:v>gemma4:e4b</x:v>
      </x:c>
    </x:row>
    <x:row r="703" ht="38" customHeight="1">
      <x:c r="A703" t="n">
        <x:v>4187</x:v>
      </x:c>
      <x:c r="B703" t="str">
        <x:v>1.2.826.0.1.3680043.8.498.94433753471890306108089557761231739312</x:v>
      </x:c>
      <x:c r="C703" t="str">
        <x:v>English</x:v>
      </x:c>
      <x:c r="D703" t="str">
        <x:v>PF OA</x:v>
      </x:c>
      <x:c r="E703" s="21" t="n">
        <x:v>0</x:v>
      </x:c>
      <x:c r="F703" s="21" t="n">
        <x:v>0</x:v>
      </x:c>
      <x:c r="G703" s="21" t="str">
        <x:f>IF(COUNT(F703)=0,"판정없음",IF(E703=F703,"일치",E703&amp;"→"&amp;F703))</x:f>
        <x:v>일치</x:v>
      </x:c>
      <x:c r="H703" t="str">
        <x:v>explicit_negative</x:v>
      </x:c>
      <x:c r="I703" s="9" t="str">
        <x:v>The tibiofemoral and patellofemoral articular cartilage is normal.</x:v>
      </x:c>
      <x:c r="J703" s="9" t="str">
        <x:v>True</x:v>
      </x:c>
      <x:c r="K703" s="9" t="str"/>
      <x:c r="L703" t="str">
        <x:v>gemma4:e4b</x:v>
      </x:c>
    </x:row>
    <x:row r="704" ht="38" customHeight="1">
      <x:c r="A704" t="n">
        <x:v>4187</x:v>
      </x:c>
      <x:c r="B704" t="str">
        <x:v>1.2.826.0.1.3680043.8.498.94433753471890306108089557761231739312</x:v>
      </x:c>
      <x:c r="C704" t="str">
        <x:v>English</x:v>
      </x:c>
      <x:c r="D704" t="str">
        <x:v>Synovitis</x:v>
      </x:c>
      <x:c r="E704" s="21" t="n">
        <x:v>0</x:v>
      </x:c>
      <x:c r="F704" s="21"/>
      <x:c r="G704" s="21" t="str">
        <x:f>IF(COUNT(F704)=0,"판정없음",IF(E704=F704,"일치",E704&amp;"→"&amp;F704))</x:f>
        <x:v>판정없음</x:v>
      </x:c>
      <x:c r="H704" t="str">
        <x:v>not_mentioned</x:v>
      </x:c>
      <x:c r="I704" s="9" t="str"/>
      <x:c r="J704" s="9" t="str">
        <x:v>True</x:v>
      </x:c>
      <x:c r="K704" s="9" t="str"/>
      <x:c r="L704" t="str">
        <x:v>gemma4:e4b</x:v>
      </x:c>
    </x:row>
    <x:row r="705" ht="38" customHeight="1">
      <x:c r="A705" t="n">
        <x:v>4302</x:v>
      </x:c>
      <x:c r="B705" t="str">
        <x:v>1.2.826.0.1.3680043.8.498.97274720257634584071500649275217521662</x:v>
      </x:c>
      <x:c r="C705" t="str">
        <x:v>German</x:v>
      </x:c>
      <x:c r="D705" t="str">
        <x:v>ACL</x:v>
      </x:c>
      <x:c r="E705" s="21" t="n">
        <x:v>1</x:v>
      </x:c>
      <x:c r="F705" s="21"/>
      <x:c r="G705" s="21" t="str">
        <x:f>IF(COUNT(F705)=0,"판정없음",IF(E705=F705,"일치",E705&amp;"→"&amp;F705))</x:f>
        <x:v>판정없음</x:v>
      </x:c>
      <x:c r="H705" t="str">
        <x:v>uncertain_or_indirect</x:v>
      </x:c>
      <x:c r="I705" s="9" t="str">
        <x:v>wohl ligamentärer Ruptur des anteromedialen Bündels</x:v>
      </x:c>
      <x:c r="J705" s="9" t="str">
        <x:v>True</x:v>
      </x:c>
      <x:c r="K705" s="9" t="str">
        <x:v>anterior cruciate ligament</x:v>
      </x:c>
      <x:c r="L705" t="str">
        <x:v>gemma4:e4b</x:v>
      </x:c>
    </x:row>
    <x:row r="706" ht="38" customHeight="1">
      <x:c r="A706" t="n">
        <x:v>4302</x:v>
      </x:c>
      <x:c r="B706" t="str">
        <x:v>1.2.826.0.1.3680043.8.498.97274720257634584071500649275217521662</x:v>
      </x:c>
      <x:c r="C706" t="str">
        <x:v>German</x:v>
      </x:c>
      <x:c r="D706" t="str">
        <x:v>Baker's</x:v>
      </x:c>
      <x:c r="E706" s="21" t="n">
        <x:v>1</x:v>
      </x:c>
      <x:c r="F706" s="21" t="n">
        <x:v>1</x:v>
      </x:c>
      <x:c r="G706" s="21" t="str">
        <x:f>IF(COUNT(F706)=0,"판정없음",IF(E706=F706,"일치",E706&amp;"→"&amp;F706))</x:f>
        <x:v>일치</x:v>
      </x:c>
      <x:c r="H706" t="str">
        <x:v>explicit_positive</x:v>
      </x:c>
      <x:c r="I706" s="9" t="str">
        <x:v>gering Flüssigkeit gefüllte Baker-Zyste</x:v>
      </x:c>
      <x:c r="J706" s="9" t="str">
        <x:v>True</x:v>
      </x:c>
      <x:c r="K706" s="9" t="str">
        <x:v>Baker's cyst</x:v>
      </x:c>
      <x:c r="L706" t="str">
        <x:v>gemma4:e4b</x:v>
      </x:c>
    </x:row>
    <x:row r="707" ht="38" customHeight="1">
      <x:c r="A707" t="n">
        <x:v>4302</x:v>
      </x:c>
      <x:c r="B707" t="str">
        <x:v>1.2.826.0.1.3680043.8.498.97274720257634584071500649275217521662</x:v>
      </x:c>
      <x:c r="C707" t="str">
        <x:v>German</x:v>
      </x:c>
      <x:c r="D707" t="str">
        <x:v>Contusion</x:v>
      </x:c>
      <x:c r="E707" s="21" t="n">
        <x:v>1</x:v>
      </x:c>
      <x:c r="F707" s="21" t="n">
        <x:v>1</x:v>
      </x:c>
      <x:c r="G707" s="21" t="str">
        <x:f>IF(COUNT(F707)=0,"판정없음",IF(E707=F707,"일치",E707&amp;"→"&amp;F707))</x:f>
        <x:v>일치</x:v>
      </x:c>
      <x:c r="H707" t="str">
        <x:v>explicit_positive</x:v>
      </x:c>
      <x:c r="I707" s="9" t="str">
        <x:v>verbliebenes bone bruise im posterolateralen Tibiaplateau</x:v>
      </x:c>
      <x:c r="J707" s="9" t="str">
        <x:v>True</x:v>
      </x:c>
      <x:c r="K707" s="9" t="str">
        <x:v>bone contusion</x:v>
      </x:c>
      <x:c r="L707" t="str">
        <x:v>gemma4:e4b</x:v>
      </x:c>
    </x:row>
    <x:row r="708" ht="38" customHeight="1">
      <x:c r="A708" t="n">
        <x:v>4302</x:v>
      </x:c>
      <x:c r="B708" t="str">
        <x:v>1.2.826.0.1.3680043.8.498.97274720257634584071500649275217521662</x:v>
      </x:c>
      <x:c r="C708" t="str">
        <x:v>German</x:v>
      </x:c>
      <x:c r="D708" t="str">
        <x:v>Effusion</x:v>
      </x:c>
      <x:c r="E708" s="21" t="n">
        <x:v>0</x:v>
      </x:c>
      <x:c r="F708" s="21" t="n">
        <x:v>1</x:v>
      </x:c>
      <x:c r="G708" s="21" t="str">
        <x:f>IF(COUNT(F708)=0,"판정없음",IF(E708=F708,"일치",E708&amp;"→"&amp;F708))</x:f>
        <x:v>0→1</x:v>
      </x:c>
      <x:c r="H708" t="str">
        <x:v>explicit_positive</x:v>
      </x:c>
      <x:c r="I708" s="9" t="str">
        <x:v>Begleitend geringer Gelenkerguss</x:v>
      </x:c>
      <x:c r="J708" s="9" t="str">
        <x:v>True</x:v>
      </x:c>
      <x:c r="K708" s="9" t="str">
        <x:v>knee joint effusion</x:v>
      </x:c>
      <x:c r="L708" t="str">
        <x:v>gemma4:e4b</x:v>
      </x:c>
    </x:row>
    <x:row r="709" ht="38" customHeight="1">
      <x:c r="A709" t="n">
        <x:v>4302</x:v>
      </x:c>
      <x:c r="B709" t="str">
        <x:v>1.2.826.0.1.3680043.8.498.97274720257634584071500649275217521662</x:v>
      </x:c>
      <x:c r="C709" t="str">
        <x:v>German</x:v>
      </x:c>
      <x:c r="D709" t="str">
        <x:v>Fracture</x:v>
      </x:c>
      <x:c r="E709" s="21" t="n">
        <x:v>1</x:v>
      </x:c>
      <x:c r="F709" s="21"/>
      <x:c r="G709" s="21" t="str">
        <x:f>IF(COUNT(F709)=0,"판정없음",IF(E709=F709,"일치",E709&amp;"→"&amp;F709))</x:f>
        <x:v>판정없음</x:v>
      </x:c>
      <x:c r="H709" t="str">
        <x:v>uncertain_or_indirect</x:v>
      </x:c>
      <x:c r="I709" s="9" t="str">
        <x:v>knöchernem Ausriss des posterolateralen Bündels</x:v>
      </x:c>
      <x:c r="J709" s="9" t="str">
        <x:v>True</x:v>
      </x:c>
      <x:c r="K709" s="9" t="str">
        <x:v>fracture</x:v>
      </x:c>
      <x:c r="L709" t="str">
        <x:v>gemma4:e4b</x:v>
      </x:c>
    </x:row>
    <x:row r="710" ht="38" customHeight="1">
      <x:c r="A710" t="n">
        <x:v>4302</x:v>
      </x:c>
      <x:c r="B710" t="str">
        <x:v>1.2.826.0.1.3680043.8.498.97274720257634584071500649275217521662</x:v>
      </x:c>
      <x:c r="C710" t="str">
        <x:v>German</x:v>
      </x:c>
      <x:c r="D710" t="str">
        <x:v>Lateral Meniscus</x:v>
      </x:c>
      <x:c r="E710" s="21" t="n">
        <x:v>0</x:v>
      </x:c>
      <x:c r="F710" s="21"/>
      <x:c r="G710" s="21" t="str">
        <x:f>IF(COUNT(F710)=0,"판정없음",IF(E710=F710,"일치",E710&amp;"→"&amp;F710))</x:f>
        <x:v>판정없음</x:v>
      </x:c>
      <x:c r="H710" t="str">
        <x:v>uncertain_or_indirect</x:v>
      </x:c>
      <x:c r="I710" s="9" t="str">
        <x:v>nicht sicher abgrenzbare Außenmeniskushinterhornwurzel</x:v>
      </x:c>
      <x:c r="J710" s="9" t="str">
        <x:v>True</x:v>
      </x:c>
      <x:c r="K710" s="9" t="str">
        <x:v>lateral meniscus tear</x:v>
      </x:c>
      <x:c r="L710" t="str">
        <x:v>gemma4:e4b</x:v>
      </x:c>
    </x:row>
    <x:row r="711" ht="38" customHeight="1">
      <x:c r="A711" t="n">
        <x:v>4302</x:v>
      </x:c>
      <x:c r="B711" t="str">
        <x:v>1.2.826.0.1.3680043.8.498.97274720257634584071500649275217521662</x:v>
      </x:c>
      <x:c r="C711" t="str">
        <x:v>German</x:v>
      </x:c>
      <x:c r="D711" t="str">
        <x:v>Lateral OA</x:v>
      </x:c>
      <x:c r="E711" s="21" t="n">
        <x:v>0</x:v>
      </x:c>
      <x:c r="F711" s="21"/>
      <x:c r="G711" s="21" t="str">
        <x:f>IF(COUNT(F711)=0,"판정없음",IF(E711=F711,"일치",E711&amp;"→"&amp;F711))</x:f>
        <x:v>판정없음</x:v>
      </x:c>
      <x:c r="H711" t="str">
        <x:v>not_mentioned</x:v>
      </x:c>
      <x:c r="I711" s="9" t="str"/>
      <x:c r="J711" s="9" t="str">
        <x:v>True</x:v>
      </x:c>
      <x:c r="K711" s="9" t="str"/>
      <x:c r="L711" t="str">
        <x:v>gemma4:e4b</x:v>
      </x:c>
    </x:row>
    <x:row r="712" ht="38" customHeight="1">
      <x:c r="A712" t="n">
        <x:v>4302</x:v>
      </x:c>
      <x:c r="B712" t="str">
        <x:v>1.2.826.0.1.3680043.8.498.97274720257634584071500649275217521662</x:v>
      </x:c>
      <x:c r="C712" t="str">
        <x:v>German</x:v>
      </x:c>
      <x:c r="D712" t="str">
        <x:v>MCL</x:v>
      </x:c>
      <x:c r="E712" s="21" t="n">
        <x:v>0</x:v>
      </x:c>
      <x:c r="F712" s="21"/>
      <x:c r="G712" s="21" t="str">
        <x:f>IF(COUNT(F712)=0,"판정없음",IF(E712=F712,"일치",E712&amp;"→"&amp;F712))</x:f>
        <x:v>판정없음</x:v>
      </x:c>
      <x:c r="H712" t="str">
        <x:v>not_mentioned</x:v>
      </x:c>
      <x:c r="I712" s="9" t="str"/>
      <x:c r="J712" s="9" t="str">
        <x:v>True</x:v>
      </x:c>
      <x:c r="K712" s="9" t="str"/>
      <x:c r="L712" t="str">
        <x:v>gemma4:e4b</x:v>
      </x:c>
    </x:row>
    <x:row r="713" ht="38" customHeight="1">
      <x:c r="A713" t="n">
        <x:v>4302</x:v>
      </x:c>
      <x:c r="B713" t="str">
        <x:v>1.2.826.0.1.3680043.8.498.97274720257634584071500649275217521662</x:v>
      </x:c>
      <x:c r="C713" t="str">
        <x:v>German</x:v>
      </x:c>
      <x:c r="D713" t="str">
        <x:v>Medial Meniscus</x:v>
      </x:c>
      <x:c r="E713" s="21" t="n">
        <x:v>1</x:v>
      </x:c>
      <x:c r="F713" s="21" t="n">
        <x:v>1</x:v>
      </x:c>
      <x:c r="G713" s="21" t="str">
        <x:f>IF(COUNT(F713)=0,"판정없음",IF(E713=F713,"일치",E713&amp;"→"&amp;F713))</x:f>
        <x:v>일치</x:v>
      </x:c>
      <x:c r="H713" t="str">
        <x:v>explicit_positive</x:v>
      </x:c>
      <x:c r="I713" s="9" t="str">
        <x:v>Innenmeniskus mit horizontalem Riss Pars intermedia bis ins Hinterhorn ziehend</x:v>
      </x:c>
      <x:c r="J713" s="9" t="str">
        <x:v>True</x:v>
      </x:c>
      <x:c r="K713" s="9" t="str">
        <x:v>medial meniscus tear</x:v>
      </x:c>
      <x:c r="L713" t="str">
        <x:v>gemma4:e4b</x:v>
      </x:c>
    </x:row>
    <x:row r="714" ht="38" customHeight="1">
      <x:c r="A714" t="n">
        <x:v>4302</x:v>
      </x:c>
      <x:c r="B714" t="str">
        <x:v>1.2.826.0.1.3680043.8.498.97274720257634584071500649275217521662</x:v>
      </x:c>
      <x:c r="C714" t="str">
        <x:v>German</x:v>
      </x:c>
      <x:c r="D714" t="str">
        <x:v>Medial OA</x:v>
      </x:c>
      <x:c r="E714" s="21" t="n">
        <x:v>0</x:v>
      </x:c>
      <x:c r="F714" s="21"/>
      <x:c r="G714" s="21" t="str">
        <x:f>IF(COUNT(F714)=0,"판정없음",IF(E714=F714,"일치",E714&amp;"→"&amp;F714))</x:f>
        <x:v>판정없음</x:v>
      </x:c>
      <x:c r="H714" t="str">
        <x:v>uncertain_or_indirect</x:v>
      </x:c>
      <x:c r="I714" s="9" t="str">
        <x:v>Knochenödem im medialen femorotibialen Gelenkkompartiment randständig, tibial führend, bei vorrangig Chondropathie</x:v>
      </x:c>
      <x:c r="J714" s="9" t="str">
        <x:v>True</x:v>
      </x:c>
      <x:c r="K714" s="9" t="str">
        <x:v>medial tibiofemoral compartment</x:v>
      </x:c>
      <x:c r="L714" t="str">
        <x:v>gemma4:e4b</x:v>
      </x:c>
    </x:row>
    <x:row r="715" ht="38" customHeight="1">
      <x:c r="A715" t="n">
        <x:v>4302</x:v>
      </x:c>
      <x:c r="B715" t="str">
        <x:v>1.2.826.0.1.3680043.8.498.97274720257634584071500649275217521662</x:v>
      </x:c>
      <x:c r="C715" t="str">
        <x:v>German</x:v>
      </x:c>
      <x:c r="D715" t="str">
        <x:v>PF OA</x:v>
      </x:c>
      <x:c r="E715" s="21" t="n">
        <x:v>0</x:v>
      </x:c>
      <x:c r="F715" s="21"/>
      <x:c r="G715" s="21" t="str">
        <x:f>IF(COUNT(F715)=0,"판정없음",IF(E715=F715,"일치",E715&amp;"→"&amp;F715))</x:f>
        <x:v>판정없음</x:v>
      </x:c>
      <x:c r="H715" t="str">
        <x:v>not_mentioned</x:v>
      </x:c>
      <x:c r="I715" s="9" t="str"/>
      <x:c r="J715" s="9" t="str">
        <x:v>True</x:v>
      </x:c>
      <x:c r="K715" s="9" t="str"/>
      <x:c r="L715" t="str">
        <x:v>gemma4:e4b</x:v>
      </x:c>
    </x:row>
    <x:row r="716" ht="38" customHeight="1">
      <x:c r="A716" t="n">
        <x:v>4302</x:v>
      </x:c>
      <x:c r="B716" t="str">
        <x:v>1.2.826.0.1.3680043.8.498.97274720257634584071500649275217521662</x:v>
      </x:c>
      <x:c r="C716" t="str">
        <x:v>German</x:v>
      </x:c>
      <x:c r="D716" t="str">
        <x:v>Synovitis</x:v>
      </x:c>
      <x:c r="E716" s="21" t="n">
        <x:v>1</x:v>
      </x:c>
      <x:c r="F716" s="21" t="n">
        <x:v>1</x:v>
      </x:c>
      <x:c r="G716" s="21" t="str">
        <x:f>IF(COUNT(F716)=0,"판정없음",IF(E716=F716,"일치",E716&amp;"→"&amp;F716))</x:f>
        <x:v>일치</x:v>
      </x:c>
      <x:c r="H716" t="str">
        <x:v>explicit_positive</x:v>
      </x:c>
      <x:c r="I716" s="9" t="str">
        <x:v>Reizsynovialitis</x:v>
      </x:c>
      <x:c r="J716" s="9" t="str">
        <x:v>True</x:v>
      </x:c>
      <x:c r="K716" s="9" t="str">
        <x:v>synovial inflammation</x:v>
      </x:c>
      <x:c r="L716" t="str">
        <x:v>gemma4:e4b</x:v>
      </x:c>
    </x:row>
  </x:sheetData>
  <x:mergeCells>
    <x:mergeCell ref="A1:L2"/>
    <x:mergeCell ref="A3:L3"/>
    <x:mergeCell ref="K5:L5"/>
    <x:mergeCell ref="K6:L7"/>
    <x:mergeCell ref="K8:L8"/>
    <x:mergeCell ref="K9:L10"/>
    <x:mergeCell ref="K11:L11"/>
    <x:mergeCell ref="K12:L13"/>
    <x:mergeCell ref="K14:L14"/>
    <x:mergeCell ref="K15:L16"/>
    <x:mergeCell ref="A19:L19"/>
  </x:mergeCells>
  <x:conditionalFormatting sqref="G6:G17">
    <x:cfRule type="colorScale" priority="1">
      <x:colorScale>
        <x:cfvo type="min"/>
        <x:cfvo type="num" val="0.75"/>
        <x:cfvo type="max"/>
        <x:color rgb="FFB42318"/>
        <x:color rgb="FFFFF2D8"/>
        <x:color rgb="FF2E7D32"/>
      </x:colorScale>
    </x:cfRule>
  </x:conditionalFormatting>
  <x:conditionalFormatting sqref="E21:F716">
    <x:cfRule type="cellIs" dxfId="2" priority="2" operator="equal">
      <x:formula>1</x:formula>
    </x:cfRule>
    <x:cfRule type="cellIs" dxfId="3" priority="3" operator="equal">
      <x:formula>0</x:formula>
    </x:cfRule>
  </x:conditionalFormatting>
  <x:conditionalFormatting sqref="G21:G716">
    <x:cfRule type="containsText" dxfId="4" priority="4" operator="containsText" text="일치"/>
    <x:cfRule type="containsText" dxfId="5" priority="5" operator="containsText" text="0→1"/>
    <x:cfRule type="containsText" dxfId="6" priority="6" operator="containsText" text="1→0"/>
    <x:cfRule type="containsText" dxfId="7" priority="7" operator="containsText" text="판정없음"/>
  </x:conditionalFormatting>
  <x:pageMargins left="0.7" right="0.7" top="0.75" bottom="0.75" header="0.3" footer="0.3"/>
  <x:tableParts count="2">
    <x:tablePart xmlns:r="http://schemas.openxmlformats.org/officeDocument/2006/relationships" r:id="R24d9af9cede9435f"/>
    <x:tablePart xmlns:r="http://schemas.openxmlformats.org/officeDocument/2006/relationships" r:id="Rd8f8f34deb3f46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9" hidden="0" customWidth="1"/>
    <x:col min="3" max="3" width="9" hidden="0" customWidth="1"/>
    <x:col min="4" max="4" width="9" hidden="0" customWidth="1"/>
    <x:col min="5" max="5" width="9"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54" hidden="0" customWidth="1"/>
  </x:cols>
  <x:sheetData>
    <x:row r="1" ht="36" customHeight="1">
      <x:c r="A1" s="13" t="str">
        <x:v>관련 소견 A → 미언급 타깃 B</x:v>
      </x:c>
      <x:c r="B1" s="13" t="str">
        <x:v>a</x:v>
      </x:c>
      <x:c r="C1" s="13" t="str">
        <x:v>b</x:v>
      </x:c>
      <x:c r="D1" s="13" t="str">
        <x:v>c</x:v>
      </x:c>
      <x:c r="E1" s="13" t="str">
        <x:v>d</x:v>
      </x:c>
      <x:c r="F1" s="13" t="str">
        <x:v>P(B=1|A=1)</x:v>
      </x:c>
      <x:c r="G1" s="13" t="str">
        <x:v>P(B=1|A=0)</x:v>
      </x:c>
      <x:c r="H1" s="13" t="str">
        <x:v>위험도 차이</x:v>
      </x:c>
      <x:c r="I1" s="13" t="str">
        <x:v>상대위험도</x:v>
      </x:c>
      <x:c r="J1" s="13" t="str">
        <x:v>오즈비</x:v>
      </x:c>
      <x:c r="K1" s="13" t="str">
        <x:v>OR 95% 하한</x:v>
      </x:c>
      <x:c r="L1" s="13" t="str">
        <x:v>OR 95% 상한</x:v>
      </x:c>
      <x:c r="M1" s="13" t="str">
        <x:v>Fisher p</x:v>
      </x:c>
      <x:c r="N1" s="13" t="str">
        <x:v>BH q</x:v>
      </x:c>
      <x:c r="O1" s="13" t="str">
        <x:v>A=1 표본수</x:v>
      </x:c>
      <x:c r="P1" s="13" t="str">
        <x:v>임상적 해석</x:v>
      </x:c>
    </x:row>
    <x:row r="2" ht="44" customHeight="1">
      <x:c r="A2" t="str">
        <x:f>'전체관계'!A2&amp;" → "&amp;'전체관계'!B2</x:f>
        <x:v>Effusion → Synovitis</x:v>
      </x:c>
      <x:c r="B2" t="n">
        <x:f>'전체관계'!C2</x:f>
        <x:v>22</x:v>
      </x:c>
      <x:c r="C2" t="n">
        <x:f>'전체관계'!D2</x:f>
        <x:v>13</x:v>
      </x:c>
      <x:c r="D2" t="n">
        <x:f>'전체관계'!E2</x:f>
        <x:v>5</x:v>
      </x:c>
      <x:c r="E2" t="n">
        <x:f>'전체관계'!F2</x:f>
        <x:v>18</x:v>
      </x:c>
      <x:c r="F2" s="5" t="n">
        <x:f>'전체관계'!H2</x:f>
        <x:v>0.6285714285714286</x:v>
      </x:c>
      <x:c r="G2" s="5" t="n">
        <x:f>'전체관계'!J2</x:f>
        <x:v>0.21739130434782608</x:v>
      </x:c>
      <x:c r="H2" s="5" t="n">
        <x:f>'전체관계'!K2</x:f>
        <x:v>0.4111801242236025</x:v>
      </x:c>
      <x:c r="I2" s="7" t="n">
        <x:f>'전체관계'!L2</x:f>
        <x:v>2.8914285714285715</x:v>
      </x:c>
      <x:c r="J2" s="7" t="n">
        <x:f>'전체관계'!M2</x:f>
        <x:v>6.092307692307692</x:v>
      </x:c>
      <x:c r="K2" s="7" t="n">
        <x:f>'전체관계'!N2</x:f>
        <x:v>1.8259347512373374</x:v>
      </x:c>
      <x:c r="L2" s="7" t="n">
        <x:f>'전체관계'!O2</x:f>
        <x:v>20.327239509845473</x:v>
      </x:c>
      <x:c r="M2" s="8" t="n">
        <x:f>'전체관계'!P2</x:f>
        <x:v>0.0030085675678955034</x:v>
      </x:c>
      <x:c r="N2" s="8" t="n">
        <x:f>'전체관계'!Q2</x:f>
        <x:v>0.05419089721682214</x:v>
      </x:c>
      <x:c r="O2" t="n">
        <x:f>'전체관계'!G2</x:f>
        <x:v>35</x:v>
      </x:c>
      <x:c r="P2" s="9" t="str">
        <x:f>'전체관계'!R2</x:f>
        <x:v>염증과 관절액 증가가 함께 나타날 수 있으나 동일 소견은 아님.</x:v>
      </x:c>
    </x:row>
    <x:row r="3" ht="44" customHeight="1">
      <x:c r="A3" t="str">
        <x:f>'전체관계'!A3&amp;" → "&amp;'전체관계'!B3</x:f>
        <x:v>ACL → Contusion</x:v>
      </x:c>
      <x:c r="B3" t="n">
        <x:f>'전체관계'!C3</x:f>
        <x:v>13</x:v>
      </x:c>
      <x:c r="C3" t="n">
        <x:f>'전체관계'!D3</x:f>
        <x:v>11</x:v>
      </x:c>
      <x:c r="D3" t="n">
        <x:f>'전체관계'!E3</x:f>
        <x:v>6</x:v>
      </x:c>
      <x:c r="E3" t="n">
        <x:f>'전체관계'!F3</x:f>
        <x:v>28</x:v>
      </x:c>
      <x:c r="F3" s="5" t="n">
        <x:f>'전체관계'!H3</x:f>
        <x:v>0.5416666666666666</x:v>
      </x:c>
      <x:c r="G3" s="5" t="n">
        <x:f>'전체관계'!J3</x:f>
        <x:v>0.17647058823529413</x:v>
      </x:c>
      <x:c r="H3" s="5" t="n">
        <x:f>'전체관계'!K3</x:f>
        <x:v>0.3651960784313725</x:v>
      </x:c>
      <x:c r="I3" s="7" t="n">
        <x:f>'전체관계'!L3</x:f>
        <x:v>3.069444444444444</x:v>
      </x:c>
      <x:c r="J3" s="7" t="n">
        <x:f>'전체관계'!M3</x:f>
        <x:v>5.515151515151516</x:v>
      </x:c>
      <x:c r="K3" s="7" t="n">
        <x:f>'전체관계'!N3</x:f>
        <x:v>1.673528646062823</x:v>
      </x:c>
      <x:c r="L3" s="7" t="n">
        <x:f>'전체관계'!O3</x:f>
        <x:v>18.17530659342907</x:v>
      </x:c>
      <x:c r="M3" s="8" t="n">
        <x:f>'전체관계'!P3</x:f>
        <x:v>0.004926445201529285</x:v>
      </x:c>
      <x:c r="N3" s="8" t="n">
        <x:f>'전체관계'!Q3</x:f>
        <x:v>0.05419089721682214</x:v>
      </x:c>
      <x:c r="O3" t="n">
        <x:f>'전체관계'!G3</x:f>
        <x:v>24</x:v>
      </x:c>
      <x:c r="P3" s="9" t="str">
        <x:f>'전체관계'!R3</x:f>
        <x:v>회전 외상에서 ACL 손상과 골좌상이 동반될 수 있음.</x:v>
      </x:c>
    </x:row>
    <x:row r="4" ht="44" customHeight="1">
      <x:c r="A4" t="str">
        <x:f>'전체관계'!A4&amp;" → "&amp;'전체관계'!B4</x:f>
        <x:v>Medial Meniscus → Medial OA</x:v>
      </x:c>
      <x:c r="B4" t="n">
        <x:f>'전체관계'!C4</x:f>
        <x:v>12</x:v>
      </x:c>
      <x:c r="C4" t="n">
        <x:f>'전체관계'!D4</x:f>
        <x:v>14</x:v>
      </x:c>
      <x:c r="D4" t="n">
        <x:f>'전체관계'!E4</x:f>
        <x:v>3</x:v>
      </x:c>
      <x:c r="E4" t="n">
        <x:f>'전체관계'!F4</x:f>
        <x:v>29</x:v>
      </x:c>
      <x:c r="F4" s="5" t="n">
        <x:f>'전체관계'!H4</x:f>
        <x:v>0.46153846153846156</x:v>
      </x:c>
      <x:c r="G4" s="5" t="n">
        <x:f>'전체관계'!J4</x:f>
        <x:v>0.09375</x:v>
      </x:c>
      <x:c r="H4" s="5" t="n">
        <x:f>'전체관계'!K4</x:f>
        <x:v>0.36778846153846156</x:v>
      </x:c>
      <x:c r="I4" s="7" t="n">
        <x:f>'전체관계'!L4</x:f>
        <x:v>4.923076923076923</x:v>
      </x:c>
      <x:c r="J4" s="7" t="n">
        <x:f>'전체관계'!M4</x:f>
        <x:v>8.285714285714286</x:v>
      </x:c>
      <x:c r="K4" s="7" t="n">
        <x:f>'전체관계'!N4</x:f>
        <x:v>2.009041124367618</x:v>
      </x:c>
      <x:c r="L4" s="7" t="n">
        <x:f>'전체관계'!O4</x:f>
        <x:v>34.17205371846214</x:v>
      </x:c>
      <x:c r="M4" s="8" t="n">
        <x:f>'전체관계'!P4</x:f>
        <x:v>0.002225037552215381</x:v>
      </x:c>
      <x:c r="N4" s="8" t="n">
        <x:f>'전체관계'!Q4</x:f>
        <x:v>0.05419089721682214</x:v>
      </x:c>
      <x:c r="O4" t="n">
        <x:f>'전체관계'!G4</x:f>
        <x:v>26</x:v>
      </x:c>
      <x:c r="P4" s="9" t="str">
        <x:f>'전체관계'!R4</x:f>
        <x:v>같은 내측 구획의 퇴행성 변화가 함께 관찰될 수 있음.</x:v>
      </x:c>
    </x:row>
    <x:row r="5" ht="44" customHeight="1">
      <x:c r="A5" t="str">
        <x:f>'전체관계'!A5&amp;" → "&amp;'전체관계'!B5</x:f>
        <x:v>Lateral Meniscus → Lateral OA</x:v>
      </x:c>
      <x:c r="B5" t="n">
        <x:f>'전체관계'!C5</x:f>
        <x:v>9</x:v>
      </x:c>
      <x:c r="C5" t="n">
        <x:f>'전체관계'!D5</x:f>
        <x:v>14</x:v>
      </x:c>
      <x:c r="D5" t="n">
        <x:f>'전체관계'!E5</x:f>
        <x:v>2</x:v>
      </x:c>
      <x:c r="E5" t="n">
        <x:f>'전체관계'!F5</x:f>
        <x:v>33</x:v>
      </x:c>
      <x:c r="F5" s="5" t="n">
        <x:f>'전체관계'!H5</x:f>
        <x:v>0.391304347826087</x:v>
      </x:c>
      <x:c r="G5" s="5" t="n">
        <x:f>'전체관계'!J5</x:f>
        <x:v>0.05714285714285714</x:v>
      </x:c>
      <x:c r="H5" s="5" t="n">
        <x:f>'전체관계'!K5</x:f>
        <x:v>0.3341614906832298</x:v>
      </x:c>
      <x:c r="I5" s="7" t="n">
        <x:f>'전체관계'!L5</x:f>
        <x:v>6.847826086956522</x:v>
      </x:c>
      <x:c r="J5" s="7" t="n">
        <x:f>'전체관계'!M5</x:f>
        <x:v>10.607142857142858</x:v>
      </x:c>
      <x:c r="K5" s="7" t="n">
        <x:f>'전체관계'!N5</x:f>
        <x:v>2.027288873146697</x:v>
      </x:c>
      <x:c r="L5" s="7" t="n">
        <x:f>'전체관계'!O5</x:f>
        <x:v>55.49849411307615</x:v>
      </x:c>
      <x:c r="M5" s="8" t="n">
        <x:f>'전체관계'!P5</x:f>
        <x:v>0.004149672138406144</x:v>
      </x:c>
      <x:c r="N5" s="8" t="n">
        <x:f>'전체관계'!Q5</x:f>
        <x:v>0.05419089721682214</x:v>
      </x:c>
      <x:c r="O5" t="n">
        <x:f>'전체관계'!G5</x:f>
        <x:v>23</x:v>
      </x:c>
      <x:c r="P5" s="9" t="str">
        <x:f>'전체관계'!R5</x:f>
        <x:v>같은 외측 구획의 반월상연골 손상과 OA가 연관될 수 있음.</x:v>
      </x:c>
    </x:row>
    <x:row r="6" ht="44" customHeight="1">
      <x:c r="A6" t="str">
        <x:f>'전체관계'!A6&amp;" → "&amp;'전체관계'!B6</x:f>
        <x:v>Fracture → Contusion</x:v>
      </x:c>
      <x:c r="B6" t="n">
        <x:f>'전체관계'!C6</x:f>
        <x:v>10</x:v>
      </x:c>
      <x:c r="C6" t="n">
        <x:f>'전체관계'!D6</x:f>
        <x:v>8</x:v>
      </x:c>
      <x:c r="D6" t="n">
        <x:f>'전체관계'!E6</x:f>
        <x:v>9</x:v>
      </x:c>
      <x:c r="E6" t="n">
        <x:f>'전체관계'!F6</x:f>
        <x:v>31</x:v>
      </x:c>
      <x:c r="F6" s="5" t="n">
        <x:f>'전체관계'!H6</x:f>
        <x:v>0.5555555555555556</x:v>
      </x:c>
      <x:c r="G6" s="5" t="n">
        <x:f>'전체관계'!J6</x:f>
        <x:v>0.225</x:v>
      </x:c>
      <x:c r="H6" s="5" t="n">
        <x:f>'전체관계'!K6</x:f>
        <x:v>0.3305555555555556</x:v>
      </x:c>
      <x:c r="I6" s="7" t="n">
        <x:f>'전체관계'!L6</x:f>
        <x:v>2.4691358024691357</x:v>
      </x:c>
      <x:c r="J6" s="7" t="n">
        <x:f>'전체관계'!M6</x:f>
        <x:v>4.305555555555555</x:v>
      </x:c>
      <x:c r="K6" s="7" t="n">
        <x:f>'전체관계'!N6</x:f>
        <x:v>1.3103772353786196</x:v>
      </x:c>
      <x:c r="L6" s="7" t="n">
        <x:f>'전체관계'!O6</x:f>
        <x:v>14.146925130776562</x:v>
      </x:c>
      <x:c r="M6" s="8" t="n">
        <x:f>'전체관계'!P6</x:f>
        <x:v>0.017909412232937544</x:v>
      </x:c>
      <x:c r="N6" s="8" t="n">
        <x:f>'전체관계'!Q6</x:f>
        <x:v>0.10745647339762526</x:v>
      </x:c>
      <x:c r="O6" t="n">
        <x:f>'전체관계'!G6</x:f>
        <x:v>18</x:v>
      </x:c>
      <x:c r="P6" s="9" t="str">
        <x:f>'전체관계'!R6</x:f>
        <x:v>공통 외상 기전에 의해 골좌상과 골절이 함께 나타날 수 있음.</x:v>
      </x:c>
    </x:row>
    <x:row r="7" ht="44" customHeight="1">
      <x:c r="A7" t="str">
        <x:f>'전체관계'!A7&amp;" → "&amp;'전체관계'!B7</x:f>
        <x:v>Medial OA → PF OA</x:v>
      </x:c>
      <x:c r="B7" t="n">
        <x:f>'전체관계'!C7</x:f>
        <x:v>10</x:v>
      </x:c>
      <x:c r="C7" t="n">
        <x:f>'전체관계'!D7</x:f>
        <x:v>5</x:v>
      </x:c>
      <x:c r="D7" t="n">
        <x:f>'전체관계'!E7</x:f>
        <x:v>11</x:v>
      </x:c>
      <x:c r="E7" t="n">
        <x:f>'전체관계'!F7</x:f>
        <x:v>32</x:v>
      </x:c>
      <x:c r="F7" s="5" t="n">
        <x:f>'전체관계'!H7</x:f>
        <x:v>0.6666666666666666</x:v>
      </x:c>
      <x:c r="G7" s="5" t="n">
        <x:f>'전체관계'!J7</x:f>
        <x:v>0.2558139534883721</x:v>
      </x:c>
      <x:c r="H7" s="5" t="n">
        <x:f>'전체관계'!K7</x:f>
        <x:v>0.4108527131782945</x:v>
      </x:c>
      <x:c r="I7" s="7" t="n">
        <x:f>'전체관계'!L7</x:f>
        <x:v>2.606060606060606</x:v>
      </x:c>
      <x:c r="J7" s="7" t="n">
        <x:f>'전체관계'!M7</x:f>
        <x:v>5.818181818181818</x:v>
      </x:c>
      <x:c r="K7" s="7" t="n">
        <x:f>'전체관계'!N7</x:f>
        <x:v>1.6282436202924457</x:v>
      </x:c>
      <x:c r="L7" s="7" t="n">
        <x:f>'전체관계'!O7</x:f>
        <x:v>20.79003365807232</x:v>
      </x:c>
      <x:c r="M7" s="8" t="n">
        <x:f>'전체관계'!P7</x:f>
        <x:v>0.010657200893976268</x:v>
      </x:c>
      <x:c r="N7" s="8" t="n">
        <x:f>'전체관계'!Q7</x:f>
        <x:v>0.08792190737530421</x:v>
      </x:c>
      <x:c r="O7" t="n">
        <x:f>'전체관계'!G7</x:f>
        <x:v>15</x:v>
      </x:c>
      <x:c r="P7" s="9" t="str">
        <x:f>'전체관계'!R7</x:f>
        <x:v>다구획 퇴행성 변화의 공통 질병 부담을 반영할 수 있음.</x:v>
      </x:c>
    </x:row>
  </x:sheetData>
  <x:conditionalFormatting sqref="F2:G7">
    <x:cfRule type="dataBar" priority="1">
      <x:dataBar>
        <x:cfvo type="min"/>
        <x:cfvo type="max"/>
        <x:color rgb="FF167D88"/>
      </x:dataBar>
      <x:extLst>
        <x:ext xmlns:x14="http://schemas.microsoft.com/office/spreadsheetml/2009/9/main" uri="{B025F937-C7B1-47D3-B67F-A62EFF666E3E}">
          <x14:id>{669BF4F5-9B43-98E7-BB18-9BF25F2216EA}</x14:id>
        </x:ext>
      </x:extLst>
    </x:cfRule>
  </x:conditionalFormatting>
  <x:conditionalFormatting sqref="H2:H7">
    <x:cfRule type="colorScale" priority="2">
      <x:colorScale>
        <x:cfvo type="min"/>
        <x:cfvo type="num" val="0"/>
        <x:cfvo type="max"/>
        <x:color rgb="FFB42318"/>
        <x:color rgb="FFFFFFFF"/>
        <x:color rgb="FF2E7D32"/>
      </x:colorScale>
    </x:cfRule>
  </x:conditionalFormatting>
  <x:pageMargins left="0.7" right="0.7" top="0.75" bottom="0.75" header="0.3" footer="0.3"/>
  <x:tableParts count="1">
    <x:tablePart xmlns:r="http://schemas.openxmlformats.org/officeDocument/2006/relationships" r:id="Re8d5a09af6cc47a4"/>
  </x:tableParts>
  <x:extLst>
    <x:ext xmlns:x14="http://schemas.microsoft.com/office/spreadsheetml/2009/9/main" xmlns:xm="http://schemas.microsoft.com/office/excel/2006/main" uri="{78C0D931-6437-407d-A8EE-F0AAD7539E65}">
      <x14:conditionalFormattings>
        <x14:conditionalFormatting>
          <x14:cfRule type="dataBar" priority="1" id="{669BF4F5-9B43-98E7-BB18-9BF25F2216EA}">
            <x14:dataBar gradient="1">
              <x14:cfvo type="min"/>
              <x14:cfvo type="max"/>
              <x14:fillColor rgb="FF167D88"/>
            </x14:dataBar>
          </x14:cfRule>
          <xm:sqref>F2:G7</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6" hidden="0" customWidth="1"/>
    <x:col min="4" max="4" width="16" hidden="0" customWidth="1"/>
    <x:col min="6" max="6" width="16" hidden="0" customWidth="1"/>
    <x:col min="7" max="7" width="16" hidden="0" customWidth="1"/>
    <x:col min="9" max="9" width="16" hidden="0" customWidth="1"/>
    <x:col min="10" max="10" width="16" hidden="0" customWidth="1"/>
    <x:col min="12" max="12" width="16" hidden="0" customWidth="1"/>
    <x:col min="13" max="13" width="16" hidden="0" customWidth="1"/>
    <x:col min="15" max="15" width="16" hidden="0" customWidth="1"/>
    <x:col min="16" max="16" width="16" hidden="0" customWidth="1"/>
    <x:col min="18" max="18" width="16" hidden="0" customWidth="1"/>
    <x:col min="19" max="19" width="16" hidden="0" customWidth="1"/>
    <x:col min="5" max="5" width="10" hidden="0" customWidth="1"/>
    <x:col min="8" max="8" width="10" hidden="0" customWidth="1"/>
    <x:col min="11" max="11" width="10" hidden="0" customWidth="1"/>
    <x:col min="14" max="14" width="10" hidden="0" customWidth="1"/>
    <x:col min="17" max="17" width="10" hidden="0" customWidth="1"/>
    <x:col min="20" max="20" width="10" hidden="0" customWidth="1"/>
  </x:cols>
  <x:sheetData>
    <x:row r="1">
      <x:c r="A1" s="16" t="str">
        <x:v>58건 원본 라벨의 0·1 조합 비교</x:v>
      </x:c>
      <x:c r="B1" s="16"/>
      <x:c r="C1" s="16"/>
      <x:c r="D1" s="16"/>
      <x:c r="E1" s="16"/>
      <x:c r="F1" s="16"/>
      <x:c r="G1" s="16"/>
      <x:c r="H1" s="16"/>
      <x:c r="I1" s="16"/>
      <x:c r="J1" s="16"/>
      <x:c r="K1" s="16"/>
      <x:c r="L1" s="16"/>
      <x:c r="M1" s="16"/>
      <x:c r="N1" s="16"/>
      <x:c r="O1" s="16"/>
      <x:c r="P1" s="16"/>
      <x:c r="Q1" s="16"/>
      <x:c r="R1" s="16"/>
      <x:c r="S1" s="16"/>
      <x:c r="T1" s="16"/>
    </x:row>
    <x:row r="2">
      <x:c r="A2" s="16"/>
      <x:c r="B2" s="16"/>
      <x:c r="C2" s="16"/>
      <x:c r="D2" s="16"/>
      <x:c r="E2" s="16"/>
      <x:c r="F2" s="16"/>
      <x:c r="G2" s="16"/>
      <x:c r="H2" s="16"/>
      <x:c r="I2" s="16"/>
      <x:c r="J2" s="16"/>
      <x:c r="K2" s="16"/>
      <x:c r="L2" s="16"/>
      <x:c r="M2" s="16"/>
      <x:c r="N2" s="16"/>
      <x:c r="O2" s="16"/>
      <x:c r="P2" s="16"/>
      <x:c r="Q2" s="16"/>
      <x:c r="R2" s="16"/>
      <x:c r="S2" s="16"/>
      <x:c r="T2" s="16"/>
    </x:row>
    <x:row r="4">
      <x:c r="A4" s="20" t="str">
        <x:v>관계</x:v>
      </x:c>
      <x:c r="B4" s="20" t="str">
        <x:v>1→1</x:v>
      </x:c>
      <x:c r="C4" s="20" t="str">
        <x:v>1→0</x:v>
      </x:c>
      <x:c r="D4" s="20" t="str">
        <x:v>0→1</x:v>
      </x:c>
      <x:c r="E4" s="20" t="str">
        <x:v>0→0</x:v>
      </x:c>
      <x:c r="G4" s="106" t="str">
        <x:v>조합 읽는 법</x:v>
      </x:c>
      <x:c r="H4" s="106"/>
      <x:c r="I4" s="106"/>
      <x:c r="J4" s="106"/>
    </x:row>
    <x:row r="5" ht="34" customHeight="1">
      <x:c r="A5" s="9" t="str">
        <x:f>'후보비교'!A2</x:f>
        <x:v>Effusion → Synovitis</x:v>
      </x:c>
      <x:c r="B5" s="21" t="n">
        <x:f>'후보비교'!B2</x:f>
        <x:v>22</x:v>
      </x:c>
      <x:c r="C5" s="21" t="n">
        <x:f>'후보비교'!C2</x:f>
        <x:v>13</x:v>
      </x:c>
      <x:c r="D5" s="21" t="n">
        <x:f>'후보비교'!D2</x:f>
        <x:v>5</x:v>
      </x:c>
      <x:c r="E5" s="21" t="n">
        <x:f>'후보비교'!E2</x:f>
        <x:v>18</x:v>
      </x:c>
      <x:c r="G5" s="109" t="str">
        <x:v>1→1</x:v>
      </x:c>
      <x:c r="H5" s="109" t="str">
        <x:v>A=1</x:v>
      </x:c>
      <x:c r="I5" s="109" t="str">
        <x:v>B=1</x:v>
      </x:c>
      <x:c r="J5" s="109" t="str">
        <x:v>둘 다 양성</x:v>
      </x:c>
    </x:row>
    <x:row r="6" ht="34" customHeight="1">
      <x:c r="A6" s="9" t="str">
        <x:f>'후보비교'!A3</x:f>
        <x:v>ACL → Contusion</x:v>
      </x:c>
      <x:c r="B6" s="21" t="n">
        <x:f>'후보비교'!B3</x:f>
        <x:v>13</x:v>
      </x:c>
      <x:c r="C6" s="21" t="n">
        <x:f>'후보비교'!C3</x:f>
        <x:v>11</x:v>
      </x:c>
      <x:c r="D6" s="21" t="n">
        <x:f>'후보비교'!D3</x:f>
        <x:v>6</x:v>
      </x:c>
      <x:c r="E6" s="21" t="n">
        <x:f>'후보비교'!E3</x:f>
        <x:v>28</x:v>
      </x:c>
      <x:c r="G6" s="110" t="str">
        <x:v>1→0</x:v>
      </x:c>
      <x:c r="H6" s="110" t="str">
        <x:v>A=1</x:v>
      </x:c>
      <x:c r="I6" s="110" t="str">
        <x:v>B=0</x:v>
      </x:c>
      <x:c r="J6" s="110" t="str">
        <x:v>A만 양성</x:v>
      </x:c>
    </x:row>
    <x:row r="7" ht="34" customHeight="1">
      <x:c r="A7" s="9" t="str">
        <x:f>'후보비교'!A4</x:f>
        <x:v>Medial Meniscus → Medial OA</x:v>
      </x:c>
      <x:c r="B7" s="21" t="n">
        <x:f>'후보비교'!B4</x:f>
        <x:v>12</x:v>
      </x:c>
      <x:c r="C7" s="21" t="n">
        <x:f>'후보비교'!C4</x:f>
        <x:v>14</x:v>
      </x:c>
      <x:c r="D7" s="21" t="n">
        <x:f>'후보비교'!D4</x:f>
        <x:v>3</x:v>
      </x:c>
      <x:c r="E7" s="21" t="n">
        <x:f>'후보비교'!E4</x:f>
        <x:v>29</x:v>
      </x:c>
      <x:c r="G7" s="111" t="str">
        <x:v>0→1</x:v>
      </x:c>
      <x:c r="H7" s="111" t="str">
        <x:v>A=0</x:v>
      </x:c>
      <x:c r="I7" s="111" t="str">
        <x:v>B=1</x:v>
      </x:c>
      <x:c r="J7" s="111" t="str">
        <x:v>B만 양성</x:v>
      </x:c>
    </x:row>
    <x:row r="8" ht="34" customHeight="1">
      <x:c r="A8" s="9" t="str">
        <x:f>'후보비교'!A5</x:f>
        <x:v>Lateral Meniscus → Lateral OA</x:v>
      </x:c>
      <x:c r="B8" s="21" t="n">
        <x:f>'후보비교'!B5</x:f>
        <x:v>9</x:v>
      </x:c>
      <x:c r="C8" s="21" t="n">
        <x:f>'후보비교'!C5</x:f>
        <x:v>14</x:v>
      </x:c>
      <x:c r="D8" s="21" t="n">
        <x:f>'후보비교'!D5</x:f>
        <x:v>2</x:v>
      </x:c>
      <x:c r="E8" s="21" t="n">
        <x:f>'후보비교'!E5</x:f>
        <x:v>33</x:v>
      </x:c>
      <x:c r="G8" s="112" t="str">
        <x:v>0→0</x:v>
      </x:c>
      <x:c r="H8" s="112" t="str">
        <x:v>A=0</x:v>
      </x:c>
      <x:c r="I8" s="112" t="str">
        <x:v>B=0</x:v>
      </x:c>
      <x:c r="J8" s="112" t="str">
        <x:v>둘 다 음성</x:v>
      </x:c>
    </x:row>
    <x:row r="9" ht="34" customHeight="1">
      <x:c r="A9" s="9" t="str">
        <x:f>'후보비교'!A6</x:f>
        <x:v>Fracture → Contusion</x:v>
      </x:c>
      <x:c r="B9" s="21" t="n">
        <x:f>'후보비교'!B6</x:f>
        <x:v>10</x:v>
      </x:c>
      <x:c r="C9" s="21" t="n">
        <x:f>'후보비교'!C6</x:f>
        <x:v>8</x:v>
      </x:c>
      <x:c r="D9" s="21" t="n">
        <x:f>'후보비교'!D6</x:f>
        <x:v>9</x:v>
      </x:c>
      <x:c r="E9" s="21" t="n">
        <x:f>'후보비교'!E6</x:f>
        <x:v>31</x:v>
      </x:c>
    </x:row>
    <x:row r="10" ht="34" customHeight="1">
      <x:c r="A10" s="9" t="str">
        <x:f>'후보비교'!A7</x:f>
        <x:v>Medial OA → PF OA</x:v>
      </x:c>
      <x:c r="B10" s="21" t="n">
        <x:f>'후보비교'!B7</x:f>
        <x:v>10</x:v>
      </x:c>
      <x:c r="C10" s="21" t="n">
        <x:f>'후보비교'!C7</x:f>
        <x:v>5</x:v>
      </x:c>
      <x:c r="D10" s="21" t="n">
        <x:f>'후보비교'!D7</x:f>
        <x:v>11</x:v>
      </x:c>
      <x:c r="E10" s="21" t="n">
        <x:f>'후보비교'!E7</x:f>
        <x:v>32</x:v>
      </x:c>
    </x:row>
    <x:row r="12">
      <x:c r="A12" s="114" t="str">
        <x:v>58건별 원본 0·1 값 — A값 → B값</x:v>
      </x:c>
      <x:c r="B12" s="114"/>
      <x:c r="C12" s="114"/>
      <x:c r="D12" s="114"/>
      <x:c r="E12" s="114"/>
      <x:c r="F12" s="114"/>
      <x:c r="G12" s="114"/>
      <x:c r="H12" s="114"/>
      <x:c r="I12" s="114"/>
      <x:c r="J12" s="114"/>
      <x:c r="K12" s="114"/>
      <x:c r="L12" s="114"/>
      <x:c r="M12" s="114"/>
      <x:c r="N12" s="114"/>
      <x:c r="O12" s="114"/>
      <x:c r="P12" s="114"/>
      <x:c r="Q12" s="114"/>
      <x:c r="R12" s="114"/>
      <x:c r="S12" s="114"/>
      <x:c r="T12" s="114"/>
    </x:row>
    <x:row r="13" ht="38" customHeight="1">
      <x:c r="C13" s="20" t="str">
        <x:v>Effusion → Synovitis</x:v>
      </x:c>
      <x:c r="D13" s="20"/>
      <x:c r="E13" s="20"/>
      <x:c r="F13" s="43" t="str">
        <x:v>ACL → Contusion</x:v>
      </x:c>
      <x:c r="G13" s="43"/>
      <x:c r="H13" s="43"/>
      <x:c r="I13" s="117" t="str">
        <x:v>Medial Meniscus → Medial OA</x:v>
      </x:c>
      <x:c r="J13" s="117"/>
      <x:c r="K13" s="117"/>
      <x:c r="L13" s="120" t="str">
        <x:v>Lateral Meniscus → Lateral OA</x:v>
      </x:c>
      <x:c r="M13" s="120"/>
      <x:c r="N13" s="120"/>
      <x:c r="O13" s="123" t="str">
        <x:v>Fracture → Contusion</x:v>
      </x:c>
      <x:c r="P13" s="123"/>
      <x:c r="Q13" s="123"/>
      <x:c r="R13" s="126" t="str">
        <x:v>Medial OA → PF OA</x:v>
      </x:c>
      <x:c r="S13" s="126"/>
      <x:c r="T13" s="126"/>
    </x:row>
    <x:row r="14" ht="38" customHeight="1">
      <x:c r="A14" s="131" t="str">
        <x:v>No.</x:v>
      </x:c>
      <x:c r="B14" s="131" t="str">
        <x:v>StudyInstanceUID</x:v>
      </x:c>
      <x:c r="C14" s="131" t="str">
        <x:v>Effusion</x:v>
      </x:c>
      <x:c r="D14" s="131" t="str">
        <x:v>Synovitis</x:v>
      </x:c>
      <x:c r="E14" s="131" t="str">
        <x:v>조합1</x:v>
      </x:c>
      <x:c r="F14" s="131" t="str">
        <x:v>ACL</x:v>
      </x:c>
      <x:c r="G14" s="131" t="str">
        <x:v>Contusion</x:v>
      </x:c>
      <x:c r="H14" s="131" t="str">
        <x:v>조합2</x:v>
      </x:c>
      <x:c r="I14" s="131" t="str">
        <x:v>Medial Meniscus</x:v>
      </x:c>
      <x:c r="J14" s="131" t="str">
        <x:v>Medial OA</x:v>
      </x:c>
      <x:c r="K14" s="131" t="str">
        <x:v>조합3</x:v>
      </x:c>
      <x:c r="L14" s="131" t="str">
        <x:v>Lateral Meniscus</x:v>
      </x:c>
      <x:c r="M14" s="131" t="str">
        <x:v>Lateral OA</x:v>
      </x:c>
      <x:c r="N14" s="131" t="str">
        <x:v>조합4</x:v>
      </x:c>
      <x:c r="O14" s="131" t="str">
        <x:v>Fracture</x:v>
      </x:c>
      <x:c r="P14" s="131" t="str">
        <x:v>Contusion</x:v>
      </x:c>
      <x:c r="Q14" s="131" t="str">
        <x:v>조합5</x:v>
      </x:c>
      <x:c r="R14" s="131" t="str">
        <x:v>Medial OA</x:v>
      </x:c>
      <x:c r="S14" s="131" t="str">
        <x:v>PF OA</x:v>
      </x:c>
      <x:c r="T14" s="131" t="str">
        <x:v>조합6</x:v>
      </x:c>
    </x:row>
    <x:row r="15">
      <x:c r="A15" t="n">
        <x:f>ROW()-14</x:f>
        <x:v>1</x:v>
      </x:c>
      <x:c r="B15" t="str">
        <x:f>'원본58건'!A2</x:f>
        <x:v>1.2.826.0.1.3680043.8.498.10095687747295410396510538520594649149</x:v>
      </x:c>
      <x:c r="C15" s="21" t="str">
        <x:f>'원본58건'!J2</x:f>
        <x:v>1</x:v>
      </x:c>
      <x:c r="D15" s="21" t="str">
        <x:f>'원본58건'!K2</x:f>
        <x:v>0</x:v>
      </x:c>
      <x:c r="E15" s="21" t="str">
        <x:f>C15&amp;"→"&amp;D15</x:f>
        <x:v>1→0</x:v>
      </x:c>
      <x:c r="F15" s="21" t="str">
        <x:f>'원본58건'!C2</x:f>
        <x:v>0</x:v>
      </x:c>
      <x:c r="G15" s="21" t="str">
        <x:f>'원본58건'!M2</x:f>
        <x:v>0</x:v>
      </x:c>
      <x:c r="H15" s="21" t="str">
        <x:f>F15&amp;"→"&amp;G15</x:f>
        <x:v>0→0</x:v>
      </x:c>
      <x:c r="I15" s="21" t="str">
        <x:f>'원본58건'!E2</x:f>
        <x:v>0</x:v>
      </x:c>
      <x:c r="J15" s="21" t="str">
        <x:f>'원본58건'!G2</x:f>
        <x:v>0</x:v>
      </x:c>
      <x:c r="K15" s="21" t="str">
        <x:f>I15&amp;"→"&amp;J15</x:f>
        <x:v>0→0</x:v>
      </x:c>
      <x:c r="L15" s="21" t="str">
        <x:f>'원본58건'!F2</x:f>
        <x:v>0</x:v>
      </x:c>
      <x:c r="M15" s="21" t="str">
        <x:f>'원본58건'!H2</x:f>
        <x:v>0</x:v>
      </x:c>
      <x:c r="N15" s="21" t="str">
        <x:f>L15&amp;"→"&amp;M15</x:f>
        <x:v>0→0</x:v>
      </x:c>
      <x:c r="O15" s="21" t="str">
        <x:f>'원본58건'!N2</x:f>
        <x:v>0</x:v>
      </x:c>
      <x:c r="P15" s="21" t="str">
        <x:f>'원본58건'!M2</x:f>
        <x:v>0</x:v>
      </x:c>
      <x:c r="Q15" s="21" t="str">
        <x:f>O15&amp;"→"&amp;P15</x:f>
        <x:v>0→0</x:v>
      </x:c>
      <x:c r="R15" s="21" t="str">
        <x:f>'원본58건'!G2</x:f>
        <x:v>0</x:v>
      </x:c>
      <x:c r="S15" s="21" t="str">
        <x:f>'원본58건'!I2</x:f>
        <x:v>1</x:v>
      </x:c>
      <x:c r="T15" s="21" t="str">
        <x:f>R15&amp;"→"&amp;S15</x:f>
        <x:v>0→1</x:v>
      </x:c>
    </x:row>
    <x:row r="16">
      <x:c r="A16" t="n">
        <x:f>ROW()-14</x:f>
        <x:v>2</x:v>
      </x:c>
      <x:c r="B16" t="str">
        <x:f>'원본58건'!A3</x:f>
        <x:v>1.2.826.0.1.3680043.8.498.10170898615867673028696505248839028269</x:v>
      </x:c>
      <x:c r="C16" s="21" t="str">
        <x:f>'원본58건'!J3</x:f>
        <x:v>0</x:v>
      </x:c>
      <x:c r="D16" s="21" t="str">
        <x:f>'원본58건'!K3</x:f>
        <x:v>1</x:v>
      </x:c>
      <x:c r="E16" s="21" t="str">
        <x:f>C16&amp;"→"&amp;D16</x:f>
        <x:v>0→1</x:v>
      </x:c>
      <x:c r="F16" s="21" t="str">
        <x:f>'원본58건'!C3</x:f>
        <x:v>0</x:v>
      </x:c>
      <x:c r="G16" s="21" t="str">
        <x:f>'원본58건'!M3</x:f>
        <x:v>0</x:v>
      </x:c>
      <x:c r="H16" s="21" t="str">
        <x:f>F16&amp;"→"&amp;G16</x:f>
        <x:v>0→0</x:v>
      </x:c>
      <x:c r="I16" s="21" t="str">
        <x:f>'원본58건'!E3</x:f>
        <x:v>0</x:v>
      </x:c>
      <x:c r="J16" s="21" t="str">
        <x:f>'원본58건'!G3</x:f>
        <x:v>0</x:v>
      </x:c>
      <x:c r="K16" s="21" t="str">
        <x:f>I16&amp;"→"&amp;J16</x:f>
        <x:v>0→0</x:v>
      </x:c>
      <x:c r="L16" s="21" t="str">
        <x:f>'원본58건'!F3</x:f>
        <x:v>1</x:v>
      </x:c>
      <x:c r="M16" s="21" t="str">
        <x:f>'원본58건'!H3</x:f>
        <x:v>0</x:v>
      </x:c>
      <x:c r="N16" s="21" t="str">
        <x:f>L16&amp;"→"&amp;M16</x:f>
        <x:v>1→0</x:v>
      </x:c>
      <x:c r="O16" s="21" t="str">
        <x:f>'원본58건'!N3</x:f>
        <x:v>0</x:v>
      </x:c>
      <x:c r="P16" s="21" t="str">
        <x:f>'원본58건'!M3</x:f>
        <x:v>0</x:v>
      </x:c>
      <x:c r="Q16" s="21" t="str">
        <x:f>O16&amp;"→"&amp;P16</x:f>
        <x:v>0→0</x:v>
      </x:c>
      <x:c r="R16" s="21" t="str">
        <x:f>'원본58건'!G3</x:f>
        <x:v>0</x:v>
      </x:c>
      <x:c r="S16" s="21" t="str">
        <x:f>'원본58건'!I3</x:f>
        <x:v>1</x:v>
      </x:c>
      <x:c r="T16" s="21" t="str">
        <x:f>R16&amp;"→"&amp;S16</x:f>
        <x:v>0→1</x:v>
      </x:c>
    </x:row>
    <x:row r="17">
      <x:c r="A17" t="n">
        <x:f>ROW()-14</x:f>
        <x:v>3</x:v>
      </x:c>
      <x:c r="B17" t="str">
        <x:f>'원본58건'!A4</x:f>
        <x:v>1.2.826.0.1.3680043.8.498.10306159113324811538703788080836752052</x:v>
      </x:c>
      <x:c r="C17" s="21" t="str">
        <x:f>'원본58건'!J4</x:f>
        <x:v>0</x:v>
      </x:c>
      <x:c r="D17" s="21" t="str">
        <x:f>'원본58건'!K4</x:f>
        <x:v>1</x:v>
      </x:c>
      <x:c r="E17" s="21" t="str">
        <x:f>C17&amp;"→"&amp;D17</x:f>
        <x:v>0→1</x:v>
      </x:c>
      <x:c r="F17" s="21" t="str">
        <x:f>'원본58건'!C4</x:f>
        <x:v>0</x:v>
      </x:c>
      <x:c r="G17" s="21" t="str">
        <x:f>'원본58건'!M4</x:f>
        <x:v>0</x:v>
      </x:c>
      <x:c r="H17" s="21" t="str">
        <x:f>F17&amp;"→"&amp;G17</x:f>
        <x:v>0→0</x:v>
      </x:c>
      <x:c r="I17" s="21" t="str">
        <x:f>'원본58건'!E4</x:f>
        <x:v>1</x:v>
      </x:c>
      <x:c r="J17" s="21" t="str">
        <x:f>'원본58건'!G4</x:f>
        <x:v>1</x:v>
      </x:c>
      <x:c r="K17" s="21" t="str">
        <x:f>I17&amp;"→"&amp;J17</x:f>
        <x:v>1→1</x:v>
      </x:c>
      <x:c r="L17" s="21" t="str">
        <x:f>'원본58건'!F4</x:f>
        <x:v>0</x:v>
      </x:c>
      <x:c r="M17" s="21" t="str">
        <x:f>'원본58건'!H4</x:f>
        <x:v>0</x:v>
      </x:c>
      <x:c r="N17" s="21" t="str">
        <x:f>L17&amp;"→"&amp;M17</x:f>
        <x:v>0→0</x:v>
      </x:c>
      <x:c r="O17" s="21" t="str">
        <x:f>'원본58건'!N4</x:f>
        <x:v>0</x:v>
      </x:c>
      <x:c r="P17" s="21" t="str">
        <x:f>'원본58건'!M4</x:f>
        <x:v>0</x:v>
      </x:c>
      <x:c r="Q17" s="21" t="str">
        <x:f>O17&amp;"→"&amp;P17</x:f>
        <x:v>0→0</x:v>
      </x:c>
      <x:c r="R17" s="21" t="str">
        <x:f>'원본58건'!G4</x:f>
        <x:v>1</x:v>
      </x:c>
      <x:c r="S17" s="21" t="str">
        <x:f>'원본58건'!I4</x:f>
        <x:v>1</x:v>
      </x:c>
      <x:c r="T17" s="21" t="str">
        <x:f>R17&amp;"→"&amp;S17</x:f>
        <x:v>1→1</x:v>
      </x:c>
    </x:row>
    <x:row r="18">
      <x:c r="A18" t="n">
        <x:f>ROW()-14</x:f>
        <x:v>4</x:v>
      </x:c>
      <x:c r="B18" t="str">
        <x:f>'원본58건'!A5</x:f>
        <x:v>1.2.826.0.1.3680043.8.498.11287937729196958426538087439102017580</x:v>
      </x:c>
      <x:c r="C18" s="21" t="str">
        <x:f>'원본58건'!J5</x:f>
        <x:v>1</x:v>
      </x:c>
      <x:c r="D18" s="21" t="str">
        <x:f>'원본58건'!K5</x:f>
        <x:v>0</x:v>
      </x:c>
      <x:c r="E18" s="21" t="str">
        <x:f>C18&amp;"→"&amp;D18</x:f>
        <x:v>1→0</x:v>
      </x:c>
      <x:c r="F18" s="21" t="str">
        <x:f>'원본58건'!C5</x:f>
        <x:v>0</x:v>
      </x:c>
      <x:c r="G18" s="21" t="str">
        <x:f>'원본58건'!M5</x:f>
        <x:v>0</x:v>
      </x:c>
      <x:c r="H18" s="21" t="str">
        <x:f>F18&amp;"→"&amp;G18</x:f>
        <x:v>0→0</x:v>
      </x:c>
      <x:c r="I18" s="21" t="str">
        <x:f>'원본58건'!E5</x:f>
        <x:v>0</x:v>
      </x:c>
      <x:c r="J18" s="21" t="str">
        <x:f>'원본58건'!G5</x:f>
        <x:v>0</x:v>
      </x:c>
      <x:c r="K18" s="21" t="str">
        <x:f>I18&amp;"→"&amp;J18</x:f>
        <x:v>0→0</x:v>
      </x:c>
      <x:c r="L18" s="21" t="str">
        <x:f>'원본58건'!F5</x:f>
        <x:v>0</x:v>
      </x:c>
      <x:c r="M18" s="21" t="str">
        <x:f>'원본58건'!H5</x:f>
        <x:v>0</x:v>
      </x:c>
      <x:c r="N18" s="21" t="str">
        <x:f>L18&amp;"→"&amp;M18</x:f>
        <x:v>0→0</x:v>
      </x:c>
      <x:c r="O18" s="21" t="str">
        <x:f>'원본58건'!N5</x:f>
        <x:v>0</x:v>
      </x:c>
      <x:c r="P18" s="21" t="str">
        <x:f>'원본58건'!M5</x:f>
        <x:v>0</x:v>
      </x:c>
      <x:c r="Q18" s="21" t="str">
        <x:f>O18&amp;"→"&amp;P18</x:f>
        <x:v>0→0</x:v>
      </x:c>
      <x:c r="R18" s="21" t="str">
        <x:f>'원본58건'!G5</x:f>
        <x:v>0</x:v>
      </x:c>
      <x:c r="S18" s="21" t="str">
        <x:f>'원본58건'!I5</x:f>
        <x:v>0</x:v>
      </x:c>
      <x:c r="T18" s="21" t="str">
        <x:f>R18&amp;"→"&amp;S18</x:f>
        <x:v>0→0</x:v>
      </x:c>
    </x:row>
    <x:row r="19">
      <x:c r="A19" t="n">
        <x:f>ROW()-14</x:f>
        <x:v>5</x:v>
      </x:c>
      <x:c r="B19" t="str">
        <x:f>'원본58건'!A6</x:f>
        <x:v>1.2.826.0.1.3680043.8.498.11382021393803389951964005983002209238</x:v>
      </x:c>
      <x:c r="C19" s="21" t="str">
        <x:f>'원본58건'!J6</x:f>
        <x:v>0</x:v>
      </x:c>
      <x:c r="D19" s="21" t="str">
        <x:f>'원본58건'!K6</x:f>
        <x:v>0</x:v>
      </x:c>
      <x:c r="E19" s="21" t="str">
        <x:f>C19&amp;"→"&amp;D19</x:f>
        <x:v>0→0</x:v>
      </x:c>
      <x:c r="F19" s="21" t="str">
        <x:f>'원본58건'!C6</x:f>
        <x:v>1</x:v>
      </x:c>
      <x:c r="G19" s="21" t="str">
        <x:f>'원본58건'!M6</x:f>
        <x:v>0</x:v>
      </x:c>
      <x:c r="H19" s="21" t="str">
        <x:f>F19&amp;"→"&amp;G19</x:f>
        <x:v>1→0</x:v>
      </x:c>
      <x:c r="I19" s="21" t="str">
        <x:f>'원본58건'!E6</x:f>
        <x:v>1</x:v>
      </x:c>
      <x:c r="J19" s="21" t="str">
        <x:f>'원본58건'!G6</x:f>
        <x:v>0</x:v>
      </x:c>
      <x:c r="K19" s="21" t="str">
        <x:f>I19&amp;"→"&amp;J19</x:f>
        <x:v>1→0</x:v>
      </x:c>
      <x:c r="L19" s="21" t="str">
        <x:f>'원본58건'!F6</x:f>
        <x:v>0</x:v>
      </x:c>
      <x:c r="M19" s="21" t="str">
        <x:f>'원본58건'!H6</x:f>
        <x:v>0</x:v>
      </x:c>
      <x:c r="N19" s="21" t="str">
        <x:f>L19&amp;"→"&amp;M19</x:f>
        <x:v>0→0</x:v>
      </x:c>
      <x:c r="O19" s="21" t="str">
        <x:f>'원본58건'!N6</x:f>
        <x:v>0</x:v>
      </x:c>
      <x:c r="P19" s="21" t="str">
        <x:f>'원본58건'!M6</x:f>
        <x:v>0</x:v>
      </x:c>
      <x:c r="Q19" s="21" t="str">
        <x:f>O19&amp;"→"&amp;P19</x:f>
        <x:v>0→0</x:v>
      </x:c>
      <x:c r="R19" s="21" t="str">
        <x:f>'원본58건'!G6</x:f>
        <x:v>0</x:v>
      </x:c>
      <x:c r="S19" s="21" t="str">
        <x:f>'원본58건'!I6</x:f>
        <x:v>0</x:v>
      </x:c>
      <x:c r="T19" s="21" t="str">
        <x:f>R19&amp;"→"&amp;S19</x:f>
        <x:v>0→0</x:v>
      </x:c>
    </x:row>
    <x:row r="20">
      <x:c r="A20" t="n">
        <x:f>ROW()-14</x:f>
        <x:v>6</x:v>
      </x:c>
      <x:c r="B20" t="str">
        <x:f>'원본58건'!A7</x:f>
        <x:v>1.2.826.0.1.3680043.8.498.11548045715264151632153040089882701935</x:v>
      </x:c>
      <x:c r="C20" s="21" t="str">
        <x:f>'원본58건'!J7</x:f>
        <x:v>1</x:v>
      </x:c>
      <x:c r="D20" s="21" t="str">
        <x:f>'원본58건'!K7</x:f>
        <x:v>1</x:v>
      </x:c>
      <x:c r="E20" s="21" t="str">
        <x:f>C20&amp;"→"&amp;D20</x:f>
        <x:v>1→1</x:v>
      </x:c>
      <x:c r="F20" s="21" t="str">
        <x:f>'원본58건'!C7</x:f>
        <x:v>0</x:v>
      </x:c>
      <x:c r="G20" s="21" t="str">
        <x:f>'원본58건'!M7</x:f>
        <x:v>1</x:v>
      </x:c>
      <x:c r="H20" s="21" t="str">
        <x:f>F20&amp;"→"&amp;G20</x:f>
        <x:v>0→1</x:v>
      </x:c>
      <x:c r="I20" s="21" t="str">
        <x:f>'원본58건'!E7</x:f>
        <x:v>0</x:v>
      </x:c>
      <x:c r="J20" s="21" t="str">
        <x:f>'원본58건'!G7</x:f>
        <x:v>0</x:v>
      </x:c>
      <x:c r="K20" s="21" t="str">
        <x:f>I20&amp;"→"&amp;J20</x:f>
        <x:v>0→0</x:v>
      </x:c>
      <x:c r="L20" s="21" t="str">
        <x:f>'원본58건'!F7</x:f>
        <x:v>0</x:v>
      </x:c>
      <x:c r="M20" s="21" t="str">
        <x:f>'원본58건'!H7</x:f>
        <x:v>0</x:v>
      </x:c>
      <x:c r="N20" s="21" t="str">
        <x:f>L20&amp;"→"&amp;M20</x:f>
        <x:v>0→0</x:v>
      </x:c>
      <x:c r="O20" s="21" t="str">
        <x:f>'원본58건'!N7</x:f>
        <x:v>0</x:v>
      </x:c>
      <x:c r="P20" s="21" t="str">
        <x:f>'원본58건'!M7</x:f>
        <x:v>1</x:v>
      </x:c>
      <x:c r="Q20" s="21" t="str">
        <x:f>O20&amp;"→"&amp;P20</x:f>
        <x:v>0→1</x:v>
      </x:c>
      <x:c r="R20" s="21" t="str">
        <x:f>'원본58건'!G7</x:f>
        <x:v>0</x:v>
      </x:c>
      <x:c r="S20" s="21" t="str">
        <x:f>'원본58건'!I7</x:f>
        <x:v>0</x:v>
      </x:c>
      <x:c r="T20" s="21" t="str">
        <x:f>R20&amp;"→"&amp;S20</x:f>
        <x:v>0→0</x:v>
      </x:c>
    </x:row>
    <x:row r="21">
      <x:c r="A21" t="n">
        <x:f>ROW()-14</x:f>
        <x:v>7</x:v>
      </x:c>
      <x:c r="B21" t="str">
        <x:f>'원본58건'!A8</x:f>
        <x:v>1.2.826.0.1.3680043.8.498.11557620559191469069130827959098335840</x:v>
      </x:c>
      <x:c r="C21" s="21" t="str">
        <x:f>'원본58건'!J8</x:f>
        <x:v>1</x:v>
      </x:c>
      <x:c r="D21" s="21" t="str">
        <x:f>'원본58건'!K8</x:f>
        <x:v>0</x:v>
      </x:c>
      <x:c r="E21" s="21" t="str">
        <x:f>C21&amp;"→"&amp;D21</x:f>
        <x:v>1→0</x:v>
      </x:c>
      <x:c r="F21" s="21" t="str">
        <x:f>'원본58건'!C8</x:f>
        <x:v>1</x:v>
      </x:c>
      <x:c r="G21" s="21" t="str">
        <x:f>'원본58건'!M8</x:f>
        <x:v>0</x:v>
      </x:c>
      <x:c r="H21" s="21" t="str">
        <x:f>F21&amp;"→"&amp;G21</x:f>
        <x:v>1→0</x:v>
      </x:c>
      <x:c r="I21" s="21" t="str">
        <x:f>'원본58건'!E8</x:f>
        <x:v>0</x:v>
      </x:c>
      <x:c r="J21" s="21" t="str">
        <x:f>'원본58건'!G8</x:f>
        <x:v>0</x:v>
      </x:c>
      <x:c r="K21" s="21" t="str">
        <x:f>I21&amp;"→"&amp;J21</x:f>
        <x:v>0→0</x:v>
      </x:c>
      <x:c r="L21" s="21" t="str">
        <x:f>'원본58건'!F8</x:f>
        <x:v>1</x:v>
      </x:c>
      <x:c r="M21" s="21" t="str">
        <x:f>'원본58건'!H8</x:f>
        <x:v>1</x:v>
      </x:c>
      <x:c r="N21" s="21" t="str">
        <x:f>L21&amp;"→"&amp;M21</x:f>
        <x:v>1→1</x:v>
      </x:c>
      <x:c r="O21" s="21" t="str">
        <x:f>'원본58건'!N8</x:f>
        <x:v>0</x:v>
      </x:c>
      <x:c r="P21" s="21" t="str">
        <x:f>'원본58건'!M8</x:f>
        <x:v>0</x:v>
      </x:c>
      <x:c r="Q21" s="21" t="str">
        <x:f>O21&amp;"→"&amp;P21</x:f>
        <x:v>0→0</x:v>
      </x:c>
      <x:c r="R21" s="21" t="str">
        <x:f>'원본58건'!G8</x:f>
        <x:v>0</x:v>
      </x:c>
      <x:c r="S21" s="21" t="str">
        <x:f>'원본58건'!I8</x:f>
        <x:v>0</x:v>
      </x:c>
      <x:c r="T21" s="21" t="str">
        <x:f>R21&amp;"→"&amp;S21</x:f>
        <x:v>0→0</x:v>
      </x:c>
    </x:row>
    <x:row r="22">
      <x:c r="A22" t="n">
        <x:f>ROW()-14</x:f>
        <x:v>8</x:v>
      </x:c>
      <x:c r="B22" t="str">
        <x:f>'원본58건'!A9</x:f>
        <x:v>1.2.826.0.1.3680043.8.498.11771393824519892797114773408583976756</x:v>
      </x:c>
      <x:c r="C22" s="21" t="str">
        <x:f>'원본58건'!J9</x:f>
        <x:v>0</x:v>
      </x:c>
      <x:c r="D22" s="21" t="str">
        <x:f>'원본58건'!K9</x:f>
        <x:v>0</x:v>
      </x:c>
      <x:c r="E22" s="21" t="str">
        <x:f>C22&amp;"→"&amp;D22</x:f>
        <x:v>0→0</x:v>
      </x:c>
      <x:c r="F22" s="21" t="str">
        <x:f>'원본58건'!C9</x:f>
        <x:v>0</x:v>
      </x:c>
      <x:c r="G22" s="21" t="str">
        <x:f>'원본58건'!M9</x:f>
        <x:v>1</x:v>
      </x:c>
      <x:c r="H22" s="21" t="str">
        <x:f>F22&amp;"→"&amp;G22</x:f>
        <x:v>0→1</x:v>
      </x:c>
      <x:c r="I22" s="21" t="str">
        <x:f>'원본58건'!E9</x:f>
        <x:v>0</x:v>
      </x:c>
      <x:c r="J22" s="21" t="str">
        <x:f>'원본58건'!G9</x:f>
        <x:v>0</x:v>
      </x:c>
      <x:c r="K22" s="21" t="str">
        <x:f>I22&amp;"→"&amp;J22</x:f>
        <x:v>0→0</x:v>
      </x:c>
      <x:c r="L22" s="21" t="str">
        <x:f>'원본58건'!F9</x:f>
        <x:v>0</x:v>
      </x:c>
      <x:c r="M22" s="21" t="str">
        <x:f>'원본58건'!H9</x:f>
        <x:v>0</x:v>
      </x:c>
      <x:c r="N22" s="21" t="str">
        <x:f>L22&amp;"→"&amp;M22</x:f>
        <x:v>0→0</x:v>
      </x:c>
      <x:c r="O22" s="21" t="str">
        <x:f>'원본58건'!N9</x:f>
        <x:v>0</x:v>
      </x:c>
      <x:c r="P22" s="21" t="str">
        <x:f>'원본58건'!M9</x:f>
        <x:v>1</x:v>
      </x:c>
      <x:c r="Q22" s="21" t="str">
        <x:f>O22&amp;"→"&amp;P22</x:f>
        <x:v>0→1</x:v>
      </x:c>
      <x:c r="R22" s="21" t="str">
        <x:f>'원본58건'!G9</x:f>
        <x:v>0</x:v>
      </x:c>
      <x:c r="S22" s="21" t="str">
        <x:f>'원본58건'!I9</x:f>
        <x:v>0</x:v>
      </x:c>
      <x:c r="T22" s="21" t="str">
        <x:f>R22&amp;"→"&amp;S22</x:f>
        <x:v>0→0</x:v>
      </x:c>
    </x:row>
    <x:row r="23">
      <x:c r="A23" t="n">
        <x:f>ROW()-14</x:f>
        <x:v>9</x:v>
      </x:c>
      <x:c r="B23" t="str">
        <x:f>'원본58건'!A10</x:f>
        <x:v>1.2.826.0.1.3680043.8.498.11851412923016044948101698015974810604</x:v>
      </x:c>
      <x:c r="C23" s="21" t="str">
        <x:f>'원본58건'!J10</x:f>
        <x:v>1</x:v>
      </x:c>
      <x:c r="D23" s="21" t="str">
        <x:f>'원본58건'!K10</x:f>
        <x:v>0</x:v>
      </x:c>
      <x:c r="E23" s="21" t="str">
        <x:f>C23&amp;"→"&amp;D23</x:f>
        <x:v>1→0</x:v>
      </x:c>
      <x:c r="F23" s="21" t="str">
        <x:f>'원본58건'!C10</x:f>
        <x:v>0</x:v>
      </x:c>
      <x:c r="G23" s="21" t="str">
        <x:f>'원본58건'!M10</x:f>
        <x:v>0</x:v>
      </x:c>
      <x:c r="H23" s="21" t="str">
        <x:f>F23&amp;"→"&amp;G23</x:f>
        <x:v>0→0</x:v>
      </x:c>
      <x:c r="I23" s="21" t="str">
        <x:f>'원본58건'!E10</x:f>
        <x:v>1</x:v>
      </x:c>
      <x:c r="J23" s="21" t="str">
        <x:f>'원본58건'!G10</x:f>
        <x:v>1</x:v>
      </x:c>
      <x:c r="K23" s="21" t="str">
        <x:f>I23&amp;"→"&amp;J23</x:f>
        <x:v>1→1</x:v>
      </x:c>
      <x:c r="L23" s="21" t="str">
        <x:f>'원본58건'!F10</x:f>
        <x:v>1</x:v>
      </x:c>
      <x:c r="M23" s="21" t="str">
        <x:f>'원본58건'!H10</x:f>
        <x:v>0</x:v>
      </x:c>
      <x:c r="N23" s="21" t="str">
        <x:f>L23&amp;"→"&amp;M23</x:f>
        <x:v>1→0</x:v>
      </x:c>
      <x:c r="O23" s="21" t="str">
        <x:f>'원본58건'!N10</x:f>
        <x:v>1</x:v>
      </x:c>
      <x:c r="P23" s="21" t="str">
        <x:f>'원본58건'!M10</x:f>
        <x:v>0</x:v>
      </x:c>
      <x:c r="Q23" s="21" t="str">
        <x:f>O23&amp;"→"&amp;P23</x:f>
        <x:v>1→0</x:v>
      </x:c>
      <x:c r="R23" s="21" t="str">
        <x:f>'원본58건'!G10</x:f>
        <x:v>1</x:v>
      </x:c>
      <x:c r="S23" s="21" t="str">
        <x:f>'원본58건'!I10</x:f>
        <x:v>1</x:v>
      </x:c>
      <x:c r="T23" s="21" t="str">
        <x:f>R23&amp;"→"&amp;S23</x:f>
        <x:v>1→1</x:v>
      </x:c>
    </x:row>
    <x:row r="24">
      <x:c r="A24" t="n">
        <x:f>ROW()-14</x:f>
        <x:v>10</x:v>
      </x:c>
      <x:c r="B24" t="str">
        <x:f>'원본58건'!A11</x:f>
        <x:v>1.2.826.0.1.3680043.8.498.11915937982684988073644209606907169581</x:v>
      </x:c>
      <x:c r="C24" s="21" t="str">
        <x:f>'원본58건'!J11</x:f>
        <x:v>1</x:v>
      </x:c>
      <x:c r="D24" s="21" t="str">
        <x:f>'원본58건'!K11</x:f>
        <x:v>1</x:v>
      </x:c>
      <x:c r="E24" s="21" t="str">
        <x:f>C24&amp;"→"&amp;D24</x:f>
        <x:v>1→1</x:v>
      </x:c>
      <x:c r="F24" s="21" t="str">
        <x:f>'원본58건'!C11</x:f>
        <x:v>0</x:v>
      </x:c>
      <x:c r="G24" s="21" t="str">
        <x:f>'원본58건'!M11</x:f>
        <x:v>0</x:v>
      </x:c>
      <x:c r="H24" s="21" t="str">
        <x:f>F24&amp;"→"&amp;G24</x:f>
        <x:v>0→0</x:v>
      </x:c>
      <x:c r="I24" s="21" t="str">
        <x:f>'원본58건'!E11</x:f>
        <x:v>0</x:v>
      </x:c>
      <x:c r="J24" s="21" t="str">
        <x:f>'원본58건'!G11</x:f>
        <x:v>0</x:v>
      </x:c>
      <x:c r="K24" s="21" t="str">
        <x:f>I24&amp;"→"&amp;J24</x:f>
        <x:v>0→0</x:v>
      </x:c>
      <x:c r="L24" s="21" t="str">
        <x:f>'원본58건'!F11</x:f>
        <x:v>1</x:v>
      </x:c>
      <x:c r="M24" s="21" t="str">
        <x:f>'원본58건'!H11</x:f>
        <x:v>1</x:v>
      </x:c>
      <x:c r="N24" s="21" t="str">
        <x:f>L24&amp;"→"&amp;M24</x:f>
        <x:v>1→1</x:v>
      </x:c>
      <x:c r="O24" s="21" t="str">
        <x:f>'원본58건'!N11</x:f>
        <x:v>0</x:v>
      </x:c>
      <x:c r="P24" s="21" t="str">
        <x:f>'원본58건'!M11</x:f>
        <x:v>0</x:v>
      </x:c>
      <x:c r="Q24" s="21" t="str">
        <x:f>O24&amp;"→"&amp;P24</x:f>
        <x:v>0→0</x:v>
      </x:c>
      <x:c r="R24" s="21" t="str">
        <x:f>'원본58건'!G11</x:f>
        <x:v>0</x:v>
      </x:c>
      <x:c r="S24" s="21" t="str">
        <x:f>'원본58건'!I11</x:f>
        <x:v>1</x:v>
      </x:c>
      <x:c r="T24" s="21" t="str">
        <x:f>R24&amp;"→"&amp;S24</x:f>
        <x:v>0→1</x:v>
      </x:c>
    </x:row>
    <x:row r="25">
      <x:c r="A25" t="n">
        <x:f>ROW()-14</x:f>
        <x:v>11</x:v>
      </x:c>
      <x:c r="B25" t="str">
        <x:f>'원본58건'!A12</x:f>
        <x:v>1.2.826.0.1.3680043.8.498.12448079646359892252441208258836556945</x:v>
      </x:c>
      <x:c r="C25" s="21" t="str">
        <x:f>'원본58건'!J12</x:f>
        <x:v>0</x:v>
      </x:c>
      <x:c r="D25" s="21" t="str">
        <x:f>'원본58건'!K12</x:f>
        <x:v>1</x:v>
      </x:c>
      <x:c r="E25" s="21" t="str">
        <x:f>C25&amp;"→"&amp;D25</x:f>
        <x:v>0→1</x:v>
      </x:c>
      <x:c r="F25" s="21" t="str">
        <x:f>'원본58건'!C12</x:f>
        <x:v>0</x:v>
      </x:c>
      <x:c r="G25" s="21" t="str">
        <x:f>'원본58건'!M12</x:f>
        <x:v>0</x:v>
      </x:c>
      <x:c r="H25" s="21" t="str">
        <x:f>F25&amp;"→"&amp;G25</x:f>
        <x:v>0→0</x:v>
      </x:c>
      <x:c r="I25" s="21" t="str">
        <x:f>'원본58건'!E12</x:f>
        <x:v>0</x:v>
      </x:c>
      <x:c r="J25" s="21" t="str">
        <x:f>'원본58건'!G12</x:f>
        <x:v>0</x:v>
      </x:c>
      <x:c r="K25" s="21" t="str">
        <x:f>I25&amp;"→"&amp;J25</x:f>
        <x:v>0→0</x:v>
      </x:c>
      <x:c r="L25" s="21" t="str">
        <x:f>'원본58건'!F12</x:f>
        <x:v>0</x:v>
      </x:c>
      <x:c r="M25" s="21" t="str">
        <x:f>'원본58건'!H12</x:f>
        <x:v>0</x:v>
      </x:c>
      <x:c r="N25" s="21" t="str">
        <x:f>L25&amp;"→"&amp;M25</x:f>
        <x:v>0→0</x:v>
      </x:c>
      <x:c r="O25" s="21" t="str">
        <x:f>'원본58건'!N12</x:f>
        <x:v>0</x:v>
      </x:c>
      <x:c r="P25" s="21" t="str">
        <x:f>'원본58건'!M12</x:f>
        <x:v>0</x:v>
      </x:c>
      <x:c r="Q25" s="21" t="str">
        <x:f>O25&amp;"→"&amp;P25</x:f>
        <x:v>0→0</x:v>
      </x:c>
      <x:c r="R25" s="21" t="str">
        <x:f>'원본58건'!G12</x:f>
        <x:v>0</x:v>
      </x:c>
      <x:c r="S25" s="21" t="str">
        <x:f>'원본58건'!I12</x:f>
        <x:v>1</x:v>
      </x:c>
      <x:c r="T25" s="21" t="str">
        <x:f>R25&amp;"→"&amp;S25</x:f>
        <x:v>0→1</x:v>
      </x:c>
    </x:row>
    <x:row r="26">
      <x:c r="A26" t="n">
        <x:f>ROW()-14</x:f>
        <x:v>12</x:v>
      </x:c>
      <x:c r="B26" t="str">
        <x:f>'원본58건'!A13</x:f>
        <x:v>1.2.826.0.1.3680043.8.498.12505035424093604269515328931488770819</x:v>
      </x:c>
      <x:c r="C26" s="21" t="str">
        <x:f>'원본58건'!J13</x:f>
        <x:v>1</x:v>
      </x:c>
      <x:c r="D26" s="21" t="str">
        <x:f>'원본58건'!K13</x:f>
        <x:v>0</x:v>
      </x:c>
      <x:c r="E26" s="21" t="str">
        <x:f>C26&amp;"→"&amp;D26</x:f>
        <x:v>1→0</x:v>
      </x:c>
      <x:c r="F26" s="21" t="str">
        <x:f>'원본58건'!C13</x:f>
        <x:v>1</x:v>
      </x:c>
      <x:c r="G26" s="21" t="str">
        <x:f>'원본58건'!M13</x:f>
        <x:v>0</x:v>
      </x:c>
      <x:c r="H26" s="21" t="str">
        <x:f>F26&amp;"→"&amp;G26</x:f>
        <x:v>1→0</x:v>
      </x:c>
      <x:c r="I26" s="21" t="str">
        <x:f>'원본58건'!E13</x:f>
        <x:v>0</x:v>
      </x:c>
      <x:c r="J26" s="21" t="str">
        <x:f>'원본58건'!G13</x:f>
        <x:v>0</x:v>
      </x:c>
      <x:c r="K26" s="21" t="str">
        <x:f>I26&amp;"→"&amp;J26</x:f>
        <x:v>0→0</x:v>
      </x:c>
      <x:c r="L26" s="21" t="str">
        <x:f>'원본58건'!F13</x:f>
        <x:v>1</x:v>
      </x:c>
      <x:c r="M26" s="21" t="str">
        <x:f>'원본58건'!H13</x:f>
        <x:v>0</x:v>
      </x:c>
      <x:c r="N26" s="21" t="str">
        <x:f>L26&amp;"→"&amp;M26</x:f>
        <x:v>1→0</x:v>
      </x:c>
      <x:c r="O26" s="21" t="str">
        <x:f>'원본58건'!N13</x:f>
        <x:v>1</x:v>
      </x:c>
      <x:c r="P26" s="21" t="str">
        <x:f>'원본58건'!M13</x:f>
        <x:v>0</x:v>
      </x:c>
      <x:c r="Q26" s="21" t="str">
        <x:f>O26&amp;"→"&amp;P26</x:f>
        <x:v>1→0</x:v>
      </x:c>
      <x:c r="R26" s="21" t="str">
        <x:f>'원본58건'!G13</x:f>
        <x:v>0</x:v>
      </x:c>
      <x:c r="S26" s="21" t="str">
        <x:f>'원본58건'!I13</x:f>
        <x:v>0</x:v>
      </x:c>
      <x:c r="T26" s="21" t="str">
        <x:f>R26&amp;"→"&amp;S26</x:f>
        <x:v>0→0</x:v>
      </x:c>
    </x:row>
    <x:row r="27">
      <x:c r="A27" t="n">
        <x:f>ROW()-14</x:f>
        <x:v>13</x:v>
      </x:c>
      <x:c r="B27" t="str">
        <x:f>'원본58건'!A14</x:f>
        <x:v>1.2.826.0.1.3680043.8.498.12606657226568558340797193167488111973</x:v>
      </x:c>
      <x:c r="C27" s="21" t="str">
        <x:f>'원본58건'!J14</x:f>
        <x:v>0</x:v>
      </x:c>
      <x:c r="D27" s="21" t="str">
        <x:f>'원본58건'!K14</x:f>
        <x:v>0</x:v>
      </x:c>
      <x:c r="E27" s="21" t="str">
        <x:f>C27&amp;"→"&amp;D27</x:f>
        <x:v>0→0</x:v>
      </x:c>
      <x:c r="F27" s="21" t="str">
        <x:f>'원본58건'!C14</x:f>
        <x:v>1</x:v>
      </x:c>
      <x:c r="G27" s="21" t="str">
        <x:f>'원본58건'!M14</x:f>
        <x:v>0</x:v>
      </x:c>
      <x:c r="H27" s="21" t="str">
        <x:f>F27&amp;"→"&amp;G27</x:f>
        <x:v>1→0</x:v>
      </x:c>
      <x:c r="I27" s="21" t="str">
        <x:f>'원본58건'!E14</x:f>
        <x:v>0</x:v>
      </x:c>
      <x:c r="J27" s="21" t="str">
        <x:f>'원본58건'!G14</x:f>
        <x:v>0</x:v>
      </x:c>
      <x:c r="K27" s="21" t="str">
        <x:f>I27&amp;"→"&amp;J27</x:f>
        <x:v>0→0</x:v>
      </x:c>
      <x:c r="L27" s="21" t="str">
        <x:f>'원본58건'!F14</x:f>
        <x:v>1</x:v>
      </x:c>
      <x:c r="M27" s="21" t="str">
        <x:f>'원본58건'!H14</x:f>
        <x:v>0</x:v>
      </x:c>
      <x:c r="N27" s="21" t="str">
        <x:f>L27&amp;"→"&amp;M27</x:f>
        <x:v>1→0</x:v>
      </x:c>
      <x:c r="O27" s="21" t="str">
        <x:f>'원본58건'!N14</x:f>
        <x:v>0</x:v>
      </x:c>
      <x:c r="P27" s="21" t="str">
        <x:f>'원본58건'!M14</x:f>
        <x:v>0</x:v>
      </x:c>
      <x:c r="Q27" s="21" t="str">
        <x:f>O27&amp;"→"&amp;P27</x:f>
        <x:v>0→0</x:v>
      </x:c>
      <x:c r="R27" s="21" t="str">
        <x:f>'원본58건'!G14</x:f>
        <x:v>0</x:v>
      </x:c>
      <x:c r="S27" s="21" t="str">
        <x:f>'원본58건'!I14</x:f>
        <x:v>0</x:v>
      </x:c>
      <x:c r="T27" s="21" t="str">
        <x:f>R27&amp;"→"&amp;S27</x:f>
        <x:v>0→0</x:v>
      </x:c>
    </x:row>
    <x:row r="28">
      <x:c r="A28" t="n">
        <x:f>ROW()-14</x:f>
        <x:v>14</x:v>
      </x:c>
      <x:c r="B28" t="str">
        <x:f>'원본58건'!A15</x:f>
        <x:v>1.2.826.0.1.3680043.8.498.12801308844398614687904447633432197492</x:v>
      </x:c>
      <x:c r="C28" s="21" t="str">
        <x:f>'원본58건'!J15</x:f>
        <x:v>1</x:v>
      </x:c>
      <x:c r="D28" s="21" t="str">
        <x:f>'원본58건'!K15</x:f>
        <x:v>1</x:v>
      </x:c>
      <x:c r="E28" s="21" t="str">
        <x:f>C28&amp;"→"&amp;D28</x:f>
        <x:v>1→1</x:v>
      </x:c>
      <x:c r="F28" s="21" t="str">
        <x:f>'원본58건'!C15</x:f>
        <x:v>0</x:v>
      </x:c>
      <x:c r="G28" s="21" t="str">
        <x:f>'원본58건'!M15</x:f>
        <x:v>1</x:v>
      </x:c>
      <x:c r="H28" s="21" t="str">
        <x:f>F28&amp;"→"&amp;G28</x:f>
        <x:v>0→1</x:v>
      </x:c>
      <x:c r="I28" s="21" t="str">
        <x:f>'원본58건'!E15</x:f>
        <x:v>1</x:v>
      </x:c>
      <x:c r="J28" s="21" t="str">
        <x:f>'원본58건'!G15</x:f>
        <x:v>1</x:v>
      </x:c>
      <x:c r="K28" s="21" t="str">
        <x:f>I28&amp;"→"&amp;J28</x:f>
        <x:v>1→1</x:v>
      </x:c>
      <x:c r="L28" s="21" t="str">
        <x:f>'원본58건'!F15</x:f>
        <x:v>1</x:v>
      </x:c>
      <x:c r="M28" s="21" t="str">
        <x:f>'원본58건'!H15</x:f>
        <x:v>0</x:v>
      </x:c>
      <x:c r="N28" s="21" t="str">
        <x:f>L28&amp;"→"&amp;M28</x:f>
        <x:v>1→0</x:v>
      </x:c>
      <x:c r="O28" s="21" t="str">
        <x:f>'원본58건'!N15</x:f>
        <x:v>0</x:v>
      </x:c>
      <x:c r="P28" s="21" t="str">
        <x:f>'원본58건'!M15</x:f>
        <x:v>1</x:v>
      </x:c>
      <x:c r="Q28" s="21" t="str">
        <x:f>O28&amp;"→"&amp;P28</x:f>
        <x:v>0→1</x:v>
      </x:c>
      <x:c r="R28" s="21" t="str">
        <x:f>'원본58건'!G15</x:f>
        <x:v>1</x:v>
      </x:c>
      <x:c r="S28" s="21" t="str">
        <x:f>'원본58건'!I15</x:f>
        <x:v>0</x:v>
      </x:c>
      <x:c r="T28" s="21" t="str">
        <x:f>R28&amp;"→"&amp;S28</x:f>
        <x:v>1→0</x:v>
      </x:c>
    </x:row>
    <x:row r="29">
      <x:c r="A29" t="n">
        <x:f>ROW()-14</x:f>
        <x:v>15</x:v>
      </x:c>
      <x:c r="B29" t="str">
        <x:f>'원본58건'!A16</x:f>
        <x:v>1.2.826.0.1.3680043.8.498.12978510157202852202776899910529174803</x:v>
      </x:c>
      <x:c r="C29" s="21" t="str">
        <x:f>'원본58건'!J16</x:f>
        <x:v>0</x:v>
      </x:c>
      <x:c r="D29" s="21" t="str">
        <x:f>'원본58건'!K16</x:f>
        <x:v>0</x:v>
      </x:c>
      <x:c r="E29" s="21" t="str">
        <x:f>C29&amp;"→"&amp;D29</x:f>
        <x:v>0→0</x:v>
      </x:c>
      <x:c r="F29" s="21" t="str">
        <x:f>'원본58건'!C16</x:f>
        <x:v>0</x:v>
      </x:c>
      <x:c r="G29" s="21" t="str">
        <x:f>'원본58건'!M16</x:f>
        <x:v>0</x:v>
      </x:c>
      <x:c r="H29" s="21" t="str">
        <x:f>F29&amp;"→"&amp;G29</x:f>
        <x:v>0→0</x:v>
      </x:c>
      <x:c r="I29" s="21" t="str">
        <x:f>'원본58건'!E16</x:f>
        <x:v>0</x:v>
      </x:c>
      <x:c r="J29" s="21" t="str">
        <x:f>'원본58건'!G16</x:f>
        <x:v>0</x:v>
      </x:c>
      <x:c r="K29" s="21" t="str">
        <x:f>I29&amp;"→"&amp;J29</x:f>
        <x:v>0→0</x:v>
      </x:c>
      <x:c r="L29" s="21" t="str">
        <x:f>'원본58건'!F16</x:f>
        <x:v>0</x:v>
      </x:c>
      <x:c r="M29" s="21" t="str">
        <x:f>'원본58건'!H16</x:f>
        <x:v>0</x:v>
      </x:c>
      <x:c r="N29" s="21" t="str">
        <x:f>L29&amp;"→"&amp;M29</x:f>
        <x:v>0→0</x:v>
      </x:c>
      <x:c r="O29" s="21" t="str">
        <x:f>'원본58건'!N16</x:f>
        <x:v>1</x:v>
      </x:c>
      <x:c r="P29" s="21" t="str">
        <x:f>'원본58건'!M16</x:f>
        <x:v>0</x:v>
      </x:c>
      <x:c r="Q29" s="21" t="str">
        <x:f>O29&amp;"→"&amp;P29</x:f>
        <x:v>1→0</x:v>
      </x:c>
      <x:c r="R29" s="21" t="str">
        <x:f>'원본58건'!G16</x:f>
        <x:v>0</x:v>
      </x:c>
      <x:c r="S29" s="21" t="str">
        <x:f>'원본58건'!I16</x:f>
        <x:v>0</x:v>
      </x:c>
      <x:c r="T29" s="21" t="str">
        <x:f>R29&amp;"→"&amp;S29</x:f>
        <x:v>0→0</x:v>
      </x:c>
    </x:row>
    <x:row r="30">
      <x:c r="A30" t="n">
        <x:f>ROW()-14</x:f>
        <x:v>16</x:v>
      </x:c>
      <x:c r="B30" t="str">
        <x:f>'원본58건'!A17</x:f>
        <x:v>1.2.826.0.1.3680043.8.498.13267780356245120052411517053322874891</x:v>
      </x:c>
      <x:c r="C30" s="21" t="str">
        <x:f>'원본58건'!J17</x:f>
        <x:v>0</x:v>
      </x:c>
      <x:c r="D30" s="21" t="str">
        <x:f>'원본58건'!K17</x:f>
        <x:v>0</x:v>
      </x:c>
      <x:c r="E30" s="21" t="str">
        <x:f>C30&amp;"→"&amp;D30</x:f>
        <x:v>0→0</x:v>
      </x:c>
      <x:c r="F30" s="21" t="str">
        <x:f>'원본58건'!C17</x:f>
        <x:v>0</x:v>
      </x:c>
      <x:c r="G30" s="21" t="str">
        <x:f>'원본58건'!M17</x:f>
        <x:v>0</x:v>
      </x:c>
      <x:c r="H30" s="21" t="str">
        <x:f>F30&amp;"→"&amp;G30</x:f>
        <x:v>0→0</x:v>
      </x:c>
      <x:c r="I30" s="21" t="str">
        <x:f>'원본58건'!E17</x:f>
        <x:v>0</x:v>
      </x:c>
      <x:c r="J30" s="21" t="str">
        <x:f>'원본58건'!G17</x:f>
        <x:v>0</x:v>
      </x:c>
      <x:c r="K30" s="21" t="str">
        <x:f>I30&amp;"→"&amp;J30</x:f>
        <x:v>0→0</x:v>
      </x:c>
      <x:c r="L30" s="21" t="str">
        <x:f>'원본58건'!F17</x:f>
        <x:v>1</x:v>
      </x:c>
      <x:c r="M30" s="21" t="str">
        <x:f>'원본58건'!H17</x:f>
        <x:v>0</x:v>
      </x:c>
      <x:c r="N30" s="21" t="str">
        <x:f>L30&amp;"→"&amp;M30</x:f>
        <x:v>1→0</x:v>
      </x:c>
      <x:c r="O30" s="21" t="str">
        <x:f>'원본58건'!N17</x:f>
        <x:v>1</x:v>
      </x:c>
      <x:c r="P30" s="21" t="str">
        <x:f>'원본58건'!M17</x:f>
        <x:v>0</x:v>
      </x:c>
      <x:c r="Q30" s="21" t="str">
        <x:f>O30&amp;"→"&amp;P30</x:f>
        <x:v>1→0</x:v>
      </x:c>
      <x:c r="R30" s="21" t="str">
        <x:f>'원본58건'!G17</x:f>
        <x:v>0</x:v>
      </x:c>
      <x:c r="S30" s="21" t="str">
        <x:f>'원본58건'!I17</x:f>
        <x:v>0</x:v>
      </x:c>
      <x:c r="T30" s="21" t="str">
        <x:f>R30&amp;"→"&amp;S30</x:f>
        <x:v>0→0</x:v>
      </x:c>
    </x:row>
    <x:row r="31">
      <x:c r="A31" t="n">
        <x:f>ROW()-14</x:f>
        <x:v>17</x:v>
      </x:c>
      <x:c r="B31" t="str">
        <x:f>'원본58건'!A18</x:f>
        <x:v>1.2.826.0.1.3680043.8.498.13335129881737731410081002627729200903</x:v>
      </x:c>
      <x:c r="C31" s="21" t="str">
        <x:f>'원본58건'!J18</x:f>
        <x:v>1</x:v>
      </x:c>
      <x:c r="D31" s="21" t="str">
        <x:f>'원본58건'!K18</x:f>
        <x:v>1</x:v>
      </x:c>
      <x:c r="E31" s="21" t="str">
        <x:f>C31&amp;"→"&amp;D31</x:f>
        <x:v>1→1</x:v>
      </x:c>
      <x:c r="F31" s="21" t="str">
        <x:f>'원본58건'!C18</x:f>
        <x:v>1</x:v>
      </x:c>
      <x:c r="G31" s="21" t="str">
        <x:f>'원본58건'!M18</x:f>
        <x:v>0</x:v>
      </x:c>
      <x:c r="H31" s="21" t="str">
        <x:f>F31&amp;"→"&amp;G31</x:f>
        <x:v>1→0</x:v>
      </x:c>
      <x:c r="I31" s="21" t="str">
        <x:f>'원본58건'!E18</x:f>
        <x:v>1</x:v>
      </x:c>
      <x:c r="J31" s="21" t="str">
        <x:f>'원본58건'!G18</x:f>
        <x:v>1</x:v>
      </x:c>
      <x:c r="K31" s="21" t="str">
        <x:f>I31&amp;"→"&amp;J31</x:f>
        <x:v>1→1</x:v>
      </x:c>
      <x:c r="L31" s="21" t="str">
        <x:f>'원본58건'!F18</x:f>
        <x:v>1</x:v>
      </x:c>
      <x:c r="M31" s="21" t="str">
        <x:f>'원본58건'!H18</x:f>
        <x:v>1</x:v>
      </x:c>
      <x:c r="N31" s="21" t="str">
        <x:f>L31&amp;"→"&amp;M31</x:f>
        <x:v>1→1</x:v>
      </x:c>
      <x:c r="O31" s="21" t="str">
        <x:f>'원본58건'!N18</x:f>
        <x:v>0</x:v>
      </x:c>
      <x:c r="P31" s="21" t="str">
        <x:f>'원본58건'!M18</x:f>
        <x:v>0</x:v>
      </x:c>
      <x:c r="Q31" s="21" t="str">
        <x:f>O31&amp;"→"&amp;P31</x:f>
        <x:v>0→0</x:v>
      </x:c>
      <x:c r="R31" s="21" t="str">
        <x:f>'원본58건'!G18</x:f>
        <x:v>1</x:v>
      </x:c>
      <x:c r="S31" s="21" t="str">
        <x:f>'원본58건'!I18</x:f>
        <x:v>1</x:v>
      </x:c>
      <x:c r="T31" s="21" t="str">
        <x:f>R31&amp;"→"&amp;S31</x:f>
        <x:v>1→1</x:v>
      </x:c>
    </x:row>
    <x:row r="32">
      <x:c r="A32" t="n">
        <x:f>ROW()-14</x:f>
        <x:v>18</x:v>
      </x:c>
      <x:c r="B32" t="str">
        <x:f>'원본58건'!A19</x:f>
        <x:v>1.2.826.0.1.3680043.8.498.15593638897292057356864060466120253309</x:v>
      </x:c>
      <x:c r="C32" s="21" t="str">
        <x:f>'원본58건'!J19</x:f>
        <x:v>0</x:v>
      </x:c>
      <x:c r="D32" s="21" t="str">
        <x:f>'원본58건'!K19</x:f>
        <x:v>1</x:v>
      </x:c>
      <x:c r="E32" s="21" t="str">
        <x:f>C32&amp;"→"&amp;D32</x:f>
        <x:v>0→1</x:v>
      </x:c>
      <x:c r="F32" s="21" t="str">
        <x:f>'원본58건'!C19</x:f>
        <x:v>0</x:v>
      </x:c>
      <x:c r="G32" s="21" t="str">
        <x:f>'원본58건'!M19</x:f>
        <x:v>0</x:v>
      </x:c>
      <x:c r="H32" s="21" t="str">
        <x:f>F32&amp;"→"&amp;G32</x:f>
        <x:v>0→0</x:v>
      </x:c>
      <x:c r="I32" s="21" t="str">
        <x:f>'원본58건'!E19</x:f>
        <x:v>0</x:v>
      </x:c>
      <x:c r="J32" s="21" t="str">
        <x:f>'원본58건'!G19</x:f>
        <x:v>1</x:v>
      </x:c>
      <x:c r="K32" s="21" t="str">
        <x:f>I32&amp;"→"&amp;J32</x:f>
        <x:v>0→1</x:v>
      </x:c>
      <x:c r="L32" s="21" t="str">
        <x:f>'원본58건'!F19</x:f>
        <x:v>1</x:v>
      </x:c>
      <x:c r="M32" s="21" t="str">
        <x:f>'원본58건'!H19</x:f>
        <x:v>1</x:v>
      </x:c>
      <x:c r="N32" s="21" t="str">
        <x:f>L32&amp;"→"&amp;M32</x:f>
        <x:v>1→1</x:v>
      </x:c>
      <x:c r="O32" s="21" t="str">
        <x:f>'원본58건'!N19</x:f>
        <x:v>0</x:v>
      </x:c>
      <x:c r="P32" s="21" t="str">
        <x:f>'원본58건'!M19</x:f>
        <x:v>0</x:v>
      </x:c>
      <x:c r="Q32" s="21" t="str">
        <x:f>O32&amp;"→"&amp;P32</x:f>
        <x:v>0→0</x:v>
      </x:c>
      <x:c r="R32" s="21" t="str">
        <x:f>'원본58건'!G19</x:f>
        <x:v>1</x:v>
      </x:c>
      <x:c r="S32" s="21" t="str">
        <x:f>'원본58건'!I19</x:f>
        <x:v>1</x:v>
      </x:c>
      <x:c r="T32" s="21" t="str">
        <x:f>R32&amp;"→"&amp;S32</x:f>
        <x:v>1→1</x:v>
      </x:c>
    </x:row>
    <x:row r="33">
      <x:c r="A33" t="n">
        <x:f>ROW()-14</x:f>
        <x:v>19</x:v>
      </x:c>
      <x:c r="B33" t="str">
        <x:f>'원본58건'!A20</x:f>
        <x:v>1.2.826.0.1.3680043.8.498.16060119389060497136231217718921482192</x:v>
      </x:c>
      <x:c r="C33" s="21" t="str">
        <x:f>'원본58건'!J20</x:f>
        <x:v>1</x:v>
      </x:c>
      <x:c r="D33" s="21" t="str">
        <x:f>'원본58건'!K20</x:f>
        <x:v>1</x:v>
      </x:c>
      <x:c r="E33" s="21" t="str">
        <x:f>C33&amp;"→"&amp;D33</x:f>
        <x:v>1→1</x:v>
      </x:c>
      <x:c r="F33" s="21" t="str">
        <x:f>'원본58건'!C20</x:f>
        <x:v>0</x:v>
      </x:c>
      <x:c r="G33" s="21" t="str">
        <x:f>'원본58건'!M20</x:f>
        <x:v>0</x:v>
      </x:c>
      <x:c r="H33" s="21" t="str">
        <x:f>F33&amp;"→"&amp;G33</x:f>
        <x:v>0→0</x:v>
      </x:c>
      <x:c r="I33" s="21" t="str">
        <x:f>'원본58건'!E20</x:f>
        <x:v>1</x:v>
      </x:c>
      <x:c r="J33" s="21" t="str">
        <x:f>'원본58건'!G20</x:f>
        <x:v>1</x:v>
      </x:c>
      <x:c r="K33" s="21" t="str">
        <x:f>I33&amp;"→"&amp;J33</x:f>
        <x:v>1→1</x:v>
      </x:c>
      <x:c r="L33" s="21" t="str">
        <x:f>'원본58건'!F20</x:f>
        <x:v>1</x:v>
      </x:c>
      <x:c r="M33" s="21" t="str">
        <x:f>'원본58건'!H20</x:f>
        <x:v>1</x:v>
      </x:c>
      <x:c r="N33" s="21" t="str">
        <x:f>L33&amp;"→"&amp;M33</x:f>
        <x:v>1→1</x:v>
      </x:c>
      <x:c r="O33" s="21" t="str">
        <x:f>'원본58건'!N20</x:f>
        <x:v>1</x:v>
      </x:c>
      <x:c r="P33" s="21" t="str">
        <x:f>'원본58건'!M20</x:f>
        <x:v>0</x:v>
      </x:c>
      <x:c r="Q33" s="21" t="str">
        <x:f>O33&amp;"→"&amp;P33</x:f>
        <x:v>1→0</x:v>
      </x:c>
      <x:c r="R33" s="21" t="str">
        <x:f>'원본58건'!G20</x:f>
        <x:v>1</x:v>
      </x:c>
      <x:c r="S33" s="21" t="str">
        <x:f>'원본58건'!I20</x:f>
        <x:v>1</x:v>
      </x:c>
      <x:c r="T33" s="21" t="str">
        <x:f>R33&amp;"→"&amp;S33</x:f>
        <x:v>1→1</x:v>
      </x:c>
    </x:row>
    <x:row r="34">
      <x:c r="A34" t="n">
        <x:f>ROW()-14</x:f>
        <x:v>20</x:v>
      </x:c>
      <x:c r="B34" t="str">
        <x:f>'원본58건'!A21</x:f>
        <x:v>1.2.826.0.1.3680043.8.498.17844546765907321649997094867791102711</x:v>
      </x:c>
      <x:c r="C34" s="21" t="str">
        <x:f>'원본58건'!J21</x:f>
        <x:v>1</x:v>
      </x:c>
      <x:c r="D34" s="21" t="str">
        <x:f>'원본58건'!K21</x:f>
        <x:v>0</x:v>
      </x:c>
      <x:c r="E34" s="21" t="str">
        <x:f>C34&amp;"→"&amp;D34</x:f>
        <x:v>1→0</x:v>
      </x:c>
      <x:c r="F34" s="21" t="str">
        <x:f>'원본58건'!C21</x:f>
        <x:v>1</x:v>
      </x:c>
      <x:c r="G34" s="21" t="str">
        <x:f>'원본58건'!M21</x:f>
        <x:v>0</x:v>
      </x:c>
      <x:c r="H34" s="21" t="str">
        <x:f>F34&amp;"→"&amp;G34</x:f>
        <x:v>1→0</x:v>
      </x:c>
      <x:c r="I34" s="21" t="str">
        <x:f>'원본58건'!E21</x:f>
        <x:v>0</x:v>
      </x:c>
      <x:c r="J34" s="21" t="str">
        <x:f>'원본58건'!G21</x:f>
        <x:v>0</x:v>
      </x:c>
      <x:c r="K34" s="21" t="str">
        <x:f>I34&amp;"→"&amp;J34</x:f>
        <x:v>0→0</x:v>
      </x:c>
      <x:c r="L34" s="21" t="str">
        <x:f>'원본58건'!F21</x:f>
        <x:v>0</x:v>
      </x:c>
      <x:c r="M34" s="21" t="str">
        <x:f>'원본58건'!H21</x:f>
        <x:v>0</x:v>
      </x:c>
      <x:c r="N34" s="21" t="str">
        <x:f>L34&amp;"→"&amp;M34</x:f>
        <x:v>0→0</x:v>
      </x:c>
      <x:c r="O34" s="21" t="str">
        <x:f>'원본58건'!N21</x:f>
        <x:v>1</x:v>
      </x:c>
      <x:c r="P34" s="21" t="str">
        <x:f>'원본58건'!M21</x:f>
        <x:v>0</x:v>
      </x:c>
      <x:c r="Q34" s="21" t="str">
        <x:f>O34&amp;"→"&amp;P34</x:f>
        <x:v>1→0</x:v>
      </x:c>
      <x:c r="R34" s="21" t="str">
        <x:f>'원본58건'!G21</x:f>
        <x:v>0</x:v>
      </x:c>
      <x:c r="S34" s="21" t="str">
        <x:f>'원본58건'!I21</x:f>
        <x:v>0</x:v>
      </x:c>
      <x:c r="T34" s="21" t="str">
        <x:f>R34&amp;"→"&amp;S34</x:f>
        <x:v>0→0</x:v>
      </x:c>
    </x:row>
    <x:row r="35">
      <x:c r="A35" t="n">
        <x:f>ROW()-14</x:f>
        <x:v>21</x:v>
      </x:c>
      <x:c r="B35" t="str">
        <x:f>'원본58건'!A22</x:f>
        <x:v>1.2.826.0.1.3680043.8.498.18392509497170616983977319528036573378</x:v>
      </x:c>
      <x:c r="C35" s="21" t="str">
        <x:f>'원본58건'!J22</x:f>
        <x:v>1</x:v>
      </x:c>
      <x:c r="D35" s="21" t="str">
        <x:f>'원본58건'!K22</x:f>
        <x:v>1</x:v>
      </x:c>
      <x:c r="E35" s="21" t="str">
        <x:f>C35&amp;"→"&amp;D35</x:f>
        <x:v>1→1</x:v>
      </x:c>
      <x:c r="F35" s="21" t="str">
        <x:f>'원본58건'!C22</x:f>
        <x:v>1</x:v>
      </x:c>
      <x:c r="G35" s="21" t="str">
        <x:f>'원본58건'!M22</x:f>
        <x:v>1</x:v>
      </x:c>
      <x:c r="H35" s="21" t="str">
        <x:f>F35&amp;"→"&amp;G35</x:f>
        <x:v>1→1</x:v>
      </x:c>
      <x:c r="I35" s="21" t="str">
        <x:f>'원본58건'!E22</x:f>
        <x:v>1</x:v>
      </x:c>
      <x:c r="J35" s="21" t="str">
        <x:f>'원본58건'!G22</x:f>
        <x:v>0</x:v>
      </x:c>
      <x:c r="K35" s="21" t="str">
        <x:f>I35&amp;"→"&amp;J35</x:f>
        <x:v>1→0</x:v>
      </x:c>
      <x:c r="L35" s="21" t="str">
        <x:f>'원본58건'!F22</x:f>
        <x:v>0</x:v>
      </x:c>
      <x:c r="M35" s="21" t="str">
        <x:f>'원본58건'!H22</x:f>
        <x:v>0</x:v>
      </x:c>
      <x:c r="N35" s="21" t="str">
        <x:f>L35&amp;"→"&amp;M35</x:f>
        <x:v>0→0</x:v>
      </x:c>
      <x:c r="O35" s="21" t="str">
        <x:f>'원본58건'!N22</x:f>
        <x:v>1</x:v>
      </x:c>
      <x:c r="P35" s="21" t="str">
        <x:f>'원본58건'!M22</x:f>
        <x:v>1</x:v>
      </x:c>
      <x:c r="Q35" s="21" t="str">
        <x:f>O35&amp;"→"&amp;P35</x:f>
        <x:v>1→1</x:v>
      </x:c>
      <x:c r="R35" s="21" t="str">
        <x:f>'원본58건'!G22</x:f>
        <x:v>0</x:v>
      </x:c>
      <x:c r="S35" s="21" t="str">
        <x:f>'원본58건'!I22</x:f>
        <x:v>0</x:v>
      </x:c>
      <x:c r="T35" s="21" t="str">
        <x:f>R35&amp;"→"&amp;S35</x:f>
        <x:v>0→0</x:v>
      </x:c>
    </x:row>
    <x:row r="36">
      <x:c r="A36" t="n">
        <x:f>ROW()-14</x:f>
        <x:v>22</x:v>
      </x:c>
      <x:c r="B36" t="str">
        <x:f>'원본58건'!A23</x:f>
        <x:v>1.2.826.0.1.3680043.8.498.22109739962224309418874538994436903404</x:v>
      </x:c>
      <x:c r="C36" s="21" t="str">
        <x:f>'원본58건'!J23</x:f>
        <x:v>0</x:v>
      </x:c>
      <x:c r="D36" s="21" t="str">
        <x:f>'원본58건'!K23</x:f>
        <x:v>0</x:v>
      </x:c>
      <x:c r="E36" s="21" t="str">
        <x:f>C36&amp;"→"&amp;D36</x:f>
        <x:v>0→0</x:v>
      </x:c>
      <x:c r="F36" s="21" t="str">
        <x:f>'원본58건'!C23</x:f>
        <x:v>0</x:v>
      </x:c>
      <x:c r="G36" s="21" t="str">
        <x:f>'원본58건'!M23</x:f>
        <x:v>0</x:v>
      </x:c>
      <x:c r="H36" s="21" t="str">
        <x:f>F36&amp;"→"&amp;G36</x:f>
        <x:v>0→0</x:v>
      </x:c>
      <x:c r="I36" s="21" t="str">
        <x:f>'원본58건'!E23</x:f>
        <x:v>0</x:v>
      </x:c>
      <x:c r="J36" s="21" t="str">
        <x:f>'원본58건'!G23</x:f>
        <x:v>1</x:v>
      </x:c>
      <x:c r="K36" s="21" t="str">
        <x:f>I36&amp;"→"&amp;J36</x:f>
        <x:v>0→1</x:v>
      </x:c>
      <x:c r="L36" s="21" t="str">
        <x:f>'원본58건'!F23</x:f>
        <x:v>1</x:v>
      </x:c>
      <x:c r="M36" s="21" t="str">
        <x:f>'원본58건'!H23</x:f>
        <x:v>1</x:v>
      </x:c>
      <x:c r="N36" s="21" t="str">
        <x:f>L36&amp;"→"&amp;M36</x:f>
        <x:v>1→1</x:v>
      </x:c>
      <x:c r="O36" s="21" t="str">
        <x:f>'원본58건'!N23</x:f>
        <x:v>0</x:v>
      </x:c>
      <x:c r="P36" s="21" t="str">
        <x:f>'원본58건'!M23</x:f>
        <x:v>0</x:v>
      </x:c>
      <x:c r="Q36" s="21" t="str">
        <x:f>O36&amp;"→"&amp;P36</x:f>
        <x:v>0→0</x:v>
      </x:c>
      <x:c r="R36" s="21" t="str">
        <x:f>'원본58건'!G23</x:f>
        <x:v>1</x:v>
      </x:c>
      <x:c r="S36" s="21" t="str">
        <x:f>'원본58건'!I23</x:f>
        <x:v>0</x:v>
      </x:c>
      <x:c r="T36" s="21" t="str">
        <x:f>R36&amp;"→"&amp;S36</x:f>
        <x:v>1→0</x:v>
      </x:c>
    </x:row>
    <x:row r="37">
      <x:c r="A37" t="n">
        <x:f>ROW()-14</x:f>
        <x:v>23</x:v>
      </x:c>
      <x:c r="B37" t="str">
        <x:f>'원본58건'!A24</x:f>
        <x:v>1.2.826.0.1.3680043.8.498.25695966186129395049687747156570466645</x:v>
      </x:c>
      <x:c r="C37" s="21" t="str">
        <x:f>'원본58건'!J24</x:f>
        <x:v>1</x:v>
      </x:c>
      <x:c r="D37" s="21" t="str">
        <x:f>'원본58건'!K24</x:f>
        <x:v>1</x:v>
      </x:c>
      <x:c r="E37" s="21" t="str">
        <x:f>C37&amp;"→"&amp;D37</x:f>
        <x:v>1→1</x:v>
      </x:c>
      <x:c r="F37" s="21" t="str">
        <x:f>'원본58건'!C24</x:f>
        <x:v>0</x:v>
      </x:c>
      <x:c r="G37" s="21" t="str">
        <x:f>'원본58건'!M24</x:f>
        <x:v>0</x:v>
      </x:c>
      <x:c r="H37" s="21" t="str">
        <x:f>F37&amp;"→"&amp;G37</x:f>
        <x:v>0→0</x:v>
      </x:c>
      <x:c r="I37" s="21" t="str">
        <x:f>'원본58건'!E24</x:f>
        <x:v>1</x:v>
      </x:c>
      <x:c r="J37" s="21" t="str">
        <x:f>'원본58건'!G24</x:f>
        <x:v>1</x:v>
      </x:c>
      <x:c r="K37" s="21" t="str">
        <x:f>I37&amp;"→"&amp;J37</x:f>
        <x:v>1→1</x:v>
      </x:c>
      <x:c r="L37" s="21" t="str">
        <x:f>'원본58건'!F24</x:f>
        <x:v>1</x:v>
      </x:c>
      <x:c r="M37" s="21" t="str">
        <x:f>'원본58건'!H24</x:f>
        <x:v>0</x:v>
      </x:c>
      <x:c r="N37" s="21" t="str">
        <x:f>L37&amp;"→"&amp;M37</x:f>
        <x:v>1→0</x:v>
      </x:c>
      <x:c r="O37" s="21" t="str">
        <x:f>'원본58건'!N24</x:f>
        <x:v>0</x:v>
      </x:c>
      <x:c r="P37" s="21" t="str">
        <x:f>'원본58건'!M24</x:f>
        <x:v>0</x:v>
      </x:c>
      <x:c r="Q37" s="21" t="str">
        <x:f>O37&amp;"→"&amp;P37</x:f>
        <x:v>0→0</x:v>
      </x:c>
      <x:c r="R37" s="21" t="str">
        <x:f>'원본58건'!G24</x:f>
        <x:v>1</x:v>
      </x:c>
      <x:c r="S37" s="21" t="str">
        <x:f>'원본58건'!I24</x:f>
        <x:v>0</x:v>
      </x:c>
      <x:c r="T37" s="21" t="str">
        <x:f>R37&amp;"→"&amp;S37</x:f>
        <x:v>1→0</x:v>
      </x:c>
    </x:row>
    <x:row r="38">
      <x:c r="A38" t="n">
        <x:f>ROW()-14</x:f>
        <x:v>24</x:v>
      </x:c>
      <x:c r="B38" t="str">
        <x:f>'원본58건'!A25</x:f>
        <x:v>1.2.826.0.1.3680043.8.498.26790702379506190936834447203448882465</x:v>
      </x:c>
      <x:c r="C38" s="21" t="str">
        <x:f>'원본58건'!J25</x:f>
        <x:v>0</x:v>
      </x:c>
      <x:c r="D38" s="21" t="str">
        <x:f>'원본58건'!K25</x:f>
        <x:v>0</x:v>
      </x:c>
      <x:c r="E38" s="21" t="str">
        <x:f>C38&amp;"→"&amp;D38</x:f>
        <x:v>0→0</x:v>
      </x:c>
      <x:c r="F38" s="21" t="str">
        <x:f>'원본58건'!C25</x:f>
        <x:v>1</x:v>
      </x:c>
      <x:c r="G38" s="21" t="str">
        <x:f>'원본58건'!M25</x:f>
        <x:v>1</x:v>
      </x:c>
      <x:c r="H38" s="21" t="str">
        <x:f>F38&amp;"→"&amp;G38</x:f>
        <x:v>1→1</x:v>
      </x:c>
      <x:c r="I38" s="21" t="str">
        <x:f>'원본58건'!E25</x:f>
        <x:v>0</x:v>
      </x:c>
      <x:c r="J38" s="21" t="str">
        <x:f>'원본58건'!G25</x:f>
        <x:v>0</x:v>
      </x:c>
      <x:c r="K38" s="21" t="str">
        <x:f>I38&amp;"→"&amp;J38</x:f>
        <x:v>0→0</x:v>
      </x:c>
      <x:c r="L38" s="21" t="str">
        <x:f>'원본58건'!F25</x:f>
        <x:v>0</x:v>
      </x:c>
      <x:c r="M38" s="21" t="str">
        <x:f>'원본58건'!H25</x:f>
        <x:v>0</x:v>
      </x:c>
      <x:c r="N38" s="21" t="str">
        <x:f>L38&amp;"→"&amp;M38</x:f>
        <x:v>0→0</x:v>
      </x:c>
      <x:c r="O38" s="21" t="str">
        <x:f>'원본58건'!N25</x:f>
        <x:v>0</x:v>
      </x:c>
      <x:c r="P38" s="21" t="str">
        <x:f>'원본58건'!M25</x:f>
        <x:v>1</x:v>
      </x:c>
      <x:c r="Q38" s="21" t="str">
        <x:f>O38&amp;"→"&amp;P38</x:f>
        <x:v>0→1</x:v>
      </x:c>
      <x:c r="R38" s="21" t="str">
        <x:f>'원본58건'!G25</x:f>
        <x:v>0</x:v>
      </x:c>
      <x:c r="S38" s="21" t="str">
        <x:f>'원본58건'!I25</x:f>
        <x:v>0</x:v>
      </x:c>
      <x:c r="T38" s="21" t="str">
        <x:f>R38&amp;"→"&amp;S38</x:f>
        <x:v>0→0</x:v>
      </x:c>
    </x:row>
    <x:row r="39">
      <x:c r="A39" t="n">
        <x:f>ROW()-14</x:f>
        <x:v>25</x:v>
      </x:c>
      <x:c r="B39" t="str">
        <x:f>'원본58건'!A26</x:f>
        <x:v>1.2.826.0.1.3680043.8.498.27437263843446879932281897446100134924</x:v>
      </x:c>
      <x:c r="C39" s="21" t="str">
        <x:f>'원본58건'!J26</x:f>
        <x:v>0</x:v>
      </x:c>
      <x:c r="D39" s="21" t="str">
        <x:f>'원본58건'!K26</x:f>
        <x:v>0</x:v>
      </x:c>
      <x:c r="E39" s="21" t="str">
        <x:f>C39&amp;"→"&amp;D39</x:f>
        <x:v>0→0</x:v>
      </x:c>
      <x:c r="F39" s="21" t="str">
        <x:f>'원본58건'!C26</x:f>
        <x:v>0</x:v>
      </x:c>
      <x:c r="G39" s="21" t="str">
        <x:f>'원본58건'!M26</x:f>
        <x:v>0</x:v>
      </x:c>
      <x:c r="H39" s="21" t="str">
        <x:f>F39&amp;"→"&amp;G39</x:f>
        <x:v>0→0</x:v>
      </x:c>
      <x:c r="I39" s="21" t="str">
        <x:f>'원본58건'!E26</x:f>
        <x:v>1</x:v>
      </x:c>
      <x:c r="J39" s="21" t="str">
        <x:f>'원본58건'!G26</x:f>
        <x:v>0</x:v>
      </x:c>
      <x:c r="K39" s="21" t="str">
        <x:f>I39&amp;"→"&amp;J39</x:f>
        <x:v>1→0</x:v>
      </x:c>
      <x:c r="L39" s="21" t="str">
        <x:f>'원본58건'!F26</x:f>
        <x:v>0</x:v>
      </x:c>
      <x:c r="M39" s="21" t="str">
        <x:f>'원본58건'!H26</x:f>
        <x:v>0</x:v>
      </x:c>
      <x:c r="N39" s="21" t="str">
        <x:f>L39&amp;"→"&amp;M39</x:f>
        <x:v>0→0</x:v>
      </x:c>
      <x:c r="O39" s="21" t="str">
        <x:f>'원본58건'!N26</x:f>
        <x:v>0</x:v>
      </x:c>
      <x:c r="P39" s="21" t="str">
        <x:f>'원본58건'!M26</x:f>
        <x:v>0</x:v>
      </x:c>
      <x:c r="Q39" s="21" t="str">
        <x:f>O39&amp;"→"&amp;P39</x:f>
        <x:v>0→0</x:v>
      </x:c>
      <x:c r="R39" s="21" t="str">
        <x:f>'원본58건'!G26</x:f>
        <x:v>0</x:v>
      </x:c>
      <x:c r="S39" s="21" t="str">
        <x:f>'원본58건'!I26</x:f>
        <x:v>0</x:v>
      </x:c>
      <x:c r="T39" s="21" t="str">
        <x:f>R39&amp;"→"&amp;S39</x:f>
        <x:v>0→0</x:v>
      </x:c>
    </x:row>
    <x:row r="40">
      <x:c r="A40" t="n">
        <x:f>ROW()-14</x:f>
        <x:v>26</x:v>
      </x:c>
      <x:c r="B40" t="str">
        <x:f>'원본58건'!A27</x:f>
        <x:v>1.2.826.0.1.3680043.8.498.28925345859498351203477642741908452608</x:v>
      </x:c>
      <x:c r="C40" s="21" t="str">
        <x:f>'원본58건'!J27</x:f>
        <x:v>0</x:v>
      </x:c>
      <x:c r="D40" s="21" t="str">
        <x:f>'원본58건'!K27</x:f>
        <x:v>0</x:v>
      </x:c>
      <x:c r="E40" s="21" t="str">
        <x:f>C40&amp;"→"&amp;D40</x:f>
        <x:v>0→0</x:v>
      </x:c>
      <x:c r="F40" s="21" t="str">
        <x:f>'원본58건'!C27</x:f>
        <x:v>0</x:v>
      </x:c>
      <x:c r="G40" s="21" t="str">
        <x:f>'원본58건'!M27</x:f>
        <x:v>0</x:v>
      </x:c>
      <x:c r="H40" s="21" t="str">
        <x:f>F40&amp;"→"&amp;G40</x:f>
        <x:v>0→0</x:v>
      </x:c>
      <x:c r="I40" s="21" t="str">
        <x:f>'원본58건'!E27</x:f>
        <x:v>1</x:v>
      </x:c>
      <x:c r="J40" s="21" t="str">
        <x:f>'원본58건'!G27</x:f>
        <x:v>1</x:v>
      </x:c>
      <x:c r="K40" s="21" t="str">
        <x:f>I40&amp;"→"&amp;J40</x:f>
        <x:v>1→1</x:v>
      </x:c>
      <x:c r="L40" s="21" t="str">
        <x:f>'원본58건'!F27</x:f>
        <x:v>1</x:v>
      </x:c>
      <x:c r="M40" s="21" t="str">
        <x:f>'원본58건'!H27</x:f>
        <x:v>0</x:v>
      </x:c>
      <x:c r="N40" s="21" t="str">
        <x:f>L40&amp;"→"&amp;M40</x:f>
        <x:v>1→0</x:v>
      </x:c>
      <x:c r="O40" s="21" t="str">
        <x:f>'원본58건'!N27</x:f>
        <x:v>0</x:v>
      </x:c>
      <x:c r="P40" s="21" t="str">
        <x:f>'원본58건'!M27</x:f>
        <x:v>0</x:v>
      </x:c>
      <x:c r="Q40" s="21" t="str">
        <x:f>O40&amp;"→"&amp;P40</x:f>
        <x:v>0→0</x:v>
      </x:c>
      <x:c r="R40" s="21" t="str">
        <x:f>'원본58건'!G27</x:f>
        <x:v>1</x:v>
      </x:c>
      <x:c r="S40" s="21" t="str">
        <x:f>'원본58건'!I27</x:f>
        <x:v>1</x:v>
      </x:c>
      <x:c r="T40" s="21" t="str">
        <x:f>R40&amp;"→"&amp;S40</x:f>
        <x:v>1→1</x:v>
      </x:c>
    </x:row>
    <x:row r="41">
      <x:c r="A41" t="n">
        <x:f>ROW()-14</x:f>
        <x:v>27</x:v>
      </x:c>
      <x:c r="B41" t="str">
        <x:f>'원본58건'!A28</x:f>
        <x:v>1.2.826.0.1.3680043.8.498.29764868091238287072166823522853419550</x:v>
      </x:c>
      <x:c r="C41" s="21" t="str">
        <x:f>'원본58건'!J28</x:f>
        <x:v>0</x:v>
      </x:c>
      <x:c r="D41" s="21" t="str">
        <x:f>'원본58건'!K28</x:f>
        <x:v>0</x:v>
      </x:c>
      <x:c r="E41" s="21" t="str">
        <x:f>C41&amp;"→"&amp;D41</x:f>
        <x:v>0→0</x:v>
      </x:c>
      <x:c r="F41" s="21" t="str">
        <x:f>'원본58건'!C28</x:f>
        <x:v>1</x:v>
      </x:c>
      <x:c r="G41" s="21" t="str">
        <x:f>'원본58건'!M28</x:f>
        <x:v>1</x:v>
      </x:c>
      <x:c r="H41" s="21" t="str">
        <x:f>F41&amp;"→"&amp;G41</x:f>
        <x:v>1→1</x:v>
      </x:c>
      <x:c r="I41" s="21" t="str">
        <x:f>'원본58건'!E28</x:f>
        <x:v>0</x:v>
      </x:c>
      <x:c r="J41" s="21" t="str">
        <x:f>'원본58건'!G28</x:f>
        <x:v>0</x:v>
      </x:c>
      <x:c r="K41" s="21" t="str">
        <x:f>I41&amp;"→"&amp;J41</x:f>
        <x:v>0→0</x:v>
      </x:c>
      <x:c r="L41" s="21" t="str">
        <x:f>'원본58건'!F28</x:f>
        <x:v>0</x:v>
      </x:c>
      <x:c r="M41" s="21" t="str">
        <x:f>'원본58건'!H28</x:f>
        <x:v>0</x:v>
      </x:c>
      <x:c r="N41" s="21" t="str">
        <x:f>L41&amp;"→"&amp;M41</x:f>
        <x:v>0→0</x:v>
      </x:c>
      <x:c r="O41" s="21" t="str">
        <x:f>'원본58건'!N28</x:f>
        <x:v>1</x:v>
      </x:c>
      <x:c r="P41" s="21" t="str">
        <x:f>'원본58건'!M28</x:f>
        <x:v>1</x:v>
      </x:c>
      <x:c r="Q41" s="21" t="str">
        <x:f>O41&amp;"→"&amp;P41</x:f>
        <x:v>1→1</x:v>
      </x:c>
      <x:c r="R41" s="21" t="str">
        <x:f>'원본58건'!G28</x:f>
        <x:v>0</x:v>
      </x:c>
      <x:c r="S41" s="21" t="str">
        <x:f>'원본58건'!I28</x:f>
        <x:v>0</x:v>
      </x:c>
      <x:c r="T41" s="21" t="str">
        <x:f>R41&amp;"→"&amp;S41</x:f>
        <x:v>0→0</x:v>
      </x:c>
    </x:row>
    <x:row r="42">
      <x:c r="A42" t="n">
        <x:f>ROW()-14</x:f>
        <x:v>28</x:v>
      </x:c>
      <x:c r="B42" t="str">
        <x:f>'원본58건'!A29</x:f>
        <x:v>1.2.826.0.1.3680043.8.498.30246079718471552972130572444383079911</x:v>
      </x:c>
      <x:c r="C42" s="21" t="str">
        <x:f>'원본58건'!J29</x:f>
        <x:v>1</x:v>
      </x:c>
      <x:c r="D42" s="21" t="str">
        <x:f>'원본58건'!K29</x:f>
        <x:v>1</x:v>
      </x:c>
      <x:c r="E42" s="21" t="str">
        <x:f>C42&amp;"→"&amp;D42</x:f>
        <x:v>1→1</x:v>
      </x:c>
      <x:c r="F42" s="21" t="str">
        <x:f>'원본58건'!C29</x:f>
        <x:v>1</x:v>
      </x:c>
      <x:c r="G42" s="21" t="str">
        <x:f>'원본58건'!M29</x:f>
        <x:v>1</x:v>
      </x:c>
      <x:c r="H42" s="21" t="str">
        <x:f>F42&amp;"→"&amp;G42</x:f>
        <x:v>1→1</x:v>
      </x:c>
      <x:c r="I42" s="21" t="str">
        <x:f>'원본58건'!E29</x:f>
        <x:v>1</x:v>
      </x:c>
      <x:c r="J42" s="21" t="str">
        <x:f>'원본58건'!G29</x:f>
        <x:v>0</x:v>
      </x:c>
      <x:c r="K42" s="21" t="str">
        <x:f>I42&amp;"→"&amp;J42</x:f>
        <x:v>1→0</x:v>
      </x:c>
      <x:c r="L42" s="21" t="str">
        <x:f>'원본58건'!F29</x:f>
        <x:v>1</x:v>
      </x:c>
      <x:c r="M42" s="21" t="str">
        <x:f>'원본58건'!H29</x:f>
        <x:v>0</x:v>
      </x:c>
      <x:c r="N42" s="21" t="str">
        <x:f>L42&amp;"→"&amp;M42</x:f>
        <x:v>1→0</x:v>
      </x:c>
      <x:c r="O42" s="21" t="str">
        <x:f>'원본58건'!N29</x:f>
        <x:v>1</x:v>
      </x:c>
      <x:c r="P42" s="21" t="str">
        <x:f>'원본58건'!M29</x:f>
        <x:v>1</x:v>
      </x:c>
      <x:c r="Q42" s="21" t="str">
        <x:f>O42&amp;"→"&amp;P42</x:f>
        <x:v>1→1</x:v>
      </x:c>
      <x:c r="R42" s="21" t="str">
        <x:f>'원본58건'!G29</x:f>
        <x:v>0</x:v>
      </x:c>
      <x:c r="S42" s="21" t="str">
        <x:f>'원본58건'!I29</x:f>
        <x:v>0</x:v>
      </x:c>
      <x:c r="T42" s="21" t="str">
        <x:f>R42&amp;"→"&amp;S42</x:f>
        <x:v>0→0</x:v>
      </x:c>
    </x:row>
    <x:row r="43">
      <x:c r="A43" t="n">
        <x:f>ROW()-14</x:f>
        <x:v>29</x:v>
      </x:c>
      <x:c r="B43" t="str">
        <x:f>'원본58건'!A30</x:f>
        <x:v>1.2.826.0.1.3680043.8.498.32321830776739689645700555055955725945</x:v>
      </x:c>
      <x:c r="C43" s="21" t="str">
        <x:f>'원본58건'!J30</x:f>
        <x:v>1</x:v>
      </x:c>
      <x:c r="D43" s="21" t="str">
        <x:f>'원본58건'!K30</x:f>
        <x:v>1</x:v>
      </x:c>
      <x:c r="E43" s="21" t="str">
        <x:f>C43&amp;"→"&amp;D43</x:f>
        <x:v>1→1</x:v>
      </x:c>
      <x:c r="F43" s="21" t="str">
        <x:f>'원본58건'!C30</x:f>
        <x:v>1</x:v>
      </x:c>
      <x:c r="G43" s="21" t="str">
        <x:f>'원본58건'!M30</x:f>
        <x:v>1</x:v>
      </x:c>
      <x:c r="H43" s="21" t="str">
        <x:f>F43&amp;"→"&amp;G43</x:f>
        <x:v>1→1</x:v>
      </x:c>
      <x:c r="I43" s="21" t="str">
        <x:f>'원본58건'!E30</x:f>
        <x:v>0</x:v>
      </x:c>
      <x:c r="J43" s="21" t="str">
        <x:f>'원본58건'!G30</x:f>
        <x:v>0</x:v>
      </x:c>
      <x:c r="K43" s="21" t="str">
        <x:f>I43&amp;"→"&amp;J43</x:f>
        <x:v>0→0</x:v>
      </x:c>
      <x:c r="L43" s="21" t="str">
        <x:f>'원본58건'!F30</x:f>
        <x:v>0</x:v>
      </x:c>
      <x:c r="M43" s="21" t="str">
        <x:f>'원본58건'!H30</x:f>
        <x:v>0</x:v>
      </x:c>
      <x:c r="N43" s="21" t="str">
        <x:f>L43&amp;"→"&amp;M43</x:f>
        <x:v>0→0</x:v>
      </x:c>
      <x:c r="O43" s="21" t="str">
        <x:f>'원본58건'!N30</x:f>
        <x:v>1</x:v>
      </x:c>
      <x:c r="P43" s="21" t="str">
        <x:f>'원본58건'!M30</x:f>
        <x:v>1</x:v>
      </x:c>
      <x:c r="Q43" s="21" t="str">
        <x:f>O43&amp;"→"&amp;P43</x:f>
        <x:v>1→1</x:v>
      </x:c>
      <x:c r="R43" s="21" t="str">
        <x:f>'원본58건'!G30</x:f>
        <x:v>0</x:v>
      </x:c>
      <x:c r="S43" s="21" t="str">
        <x:f>'원본58건'!I30</x:f>
        <x:v>1</x:v>
      </x:c>
      <x:c r="T43" s="21" t="str">
        <x:f>R43&amp;"→"&amp;S43</x:f>
        <x:v>0→1</x:v>
      </x:c>
    </x:row>
    <x:row r="44">
      <x:c r="A44" t="n">
        <x:f>ROW()-14</x:f>
        <x:v>30</x:v>
      </x:c>
      <x:c r="B44" t="str">
        <x:f>'원본58건'!A31</x:f>
        <x:v>1.2.826.0.1.3680043.8.498.37040910196459054543310335064167212742</x:v>
      </x:c>
      <x:c r="C44" s="21" t="str">
        <x:f>'원본58건'!J31</x:f>
        <x:v>1</x:v>
      </x:c>
      <x:c r="D44" s="21" t="str">
        <x:f>'원본58건'!K31</x:f>
        <x:v>1</x:v>
      </x:c>
      <x:c r="E44" s="21" t="str">
        <x:f>C44&amp;"→"&amp;D44</x:f>
        <x:v>1→1</x:v>
      </x:c>
      <x:c r="F44" s="21" t="str">
        <x:f>'원본58건'!C31</x:f>
        <x:v>1</x:v>
      </x:c>
      <x:c r="G44" s="21" t="str">
        <x:f>'원본58건'!M31</x:f>
        <x:v>1</x:v>
      </x:c>
      <x:c r="H44" s="21" t="str">
        <x:f>F44&amp;"→"&amp;G44</x:f>
        <x:v>1→1</x:v>
      </x:c>
      <x:c r="I44" s="21" t="str">
        <x:f>'원본58건'!E31</x:f>
        <x:v>1</x:v>
      </x:c>
      <x:c r="J44" s="21" t="str">
        <x:f>'원본58건'!G31</x:f>
        <x:v>0</x:v>
      </x:c>
      <x:c r="K44" s="21" t="str">
        <x:f>I44&amp;"→"&amp;J44</x:f>
        <x:v>1→0</x:v>
      </x:c>
      <x:c r="L44" s="21" t="str">
        <x:f>'원본58건'!F31</x:f>
        <x:v>1</x:v>
      </x:c>
      <x:c r="M44" s="21" t="str">
        <x:f>'원본58건'!H31</x:f>
        <x:v>0</x:v>
      </x:c>
      <x:c r="N44" s="21" t="str">
        <x:f>L44&amp;"→"&amp;M44</x:f>
        <x:v>1→0</x:v>
      </x:c>
      <x:c r="O44" s="21" t="str">
        <x:f>'원본58건'!N31</x:f>
        <x:v>1</x:v>
      </x:c>
      <x:c r="P44" s="21" t="str">
        <x:f>'원본58건'!M31</x:f>
        <x:v>1</x:v>
      </x:c>
      <x:c r="Q44" s="21" t="str">
        <x:f>O44&amp;"→"&amp;P44</x:f>
        <x:v>1→1</x:v>
      </x:c>
      <x:c r="R44" s="21" t="str">
        <x:f>'원본58건'!G31</x:f>
        <x:v>0</x:v>
      </x:c>
      <x:c r="S44" s="21" t="str">
        <x:f>'원본58건'!I31</x:f>
        <x:v>0</x:v>
      </x:c>
      <x:c r="T44" s="21" t="str">
        <x:f>R44&amp;"→"&amp;S44</x:f>
        <x:v>0→0</x:v>
      </x:c>
    </x:row>
    <x:row r="45">
      <x:c r="A45" t="n">
        <x:f>ROW()-14</x:f>
        <x:v>31</x:v>
      </x:c>
      <x:c r="B45" t="str">
        <x:f>'원본58건'!A32</x:f>
        <x:v>1.2.826.0.1.3680043.8.498.37392127307867238524251864751713143683</x:v>
      </x:c>
      <x:c r="C45" s="21" t="str">
        <x:f>'원본58건'!J32</x:f>
        <x:v>0</x:v>
      </x:c>
      <x:c r="D45" s="21" t="str">
        <x:f>'원본58건'!K32</x:f>
        <x:v>0</x:v>
      </x:c>
      <x:c r="E45" s="21" t="str">
        <x:f>C45&amp;"→"&amp;D45</x:f>
        <x:v>0→0</x:v>
      </x:c>
      <x:c r="F45" s="21" t="str">
        <x:f>'원본58건'!C32</x:f>
        <x:v>0</x:v>
      </x:c>
      <x:c r="G45" s="21" t="str">
        <x:f>'원본58건'!M32</x:f>
        <x:v>1</x:v>
      </x:c>
      <x:c r="H45" s="21" t="str">
        <x:f>F45&amp;"→"&amp;G45</x:f>
        <x:v>0→1</x:v>
      </x:c>
      <x:c r="I45" s="21" t="str">
        <x:f>'원본58건'!E32</x:f>
        <x:v>0</x:v>
      </x:c>
      <x:c r="J45" s="21" t="str">
        <x:f>'원본58건'!G32</x:f>
        <x:v>0</x:v>
      </x:c>
      <x:c r="K45" s="21" t="str">
        <x:f>I45&amp;"→"&amp;J45</x:f>
        <x:v>0→0</x:v>
      </x:c>
      <x:c r="L45" s="21" t="str">
        <x:f>'원본58건'!F32</x:f>
        <x:v>0</x:v>
      </x:c>
      <x:c r="M45" s="21" t="str">
        <x:f>'원본58건'!H32</x:f>
        <x:v>0</x:v>
      </x:c>
      <x:c r="N45" s="21" t="str">
        <x:f>L45&amp;"→"&amp;M45</x:f>
        <x:v>0→0</x:v>
      </x:c>
      <x:c r="O45" s="21" t="str">
        <x:f>'원본58건'!N32</x:f>
        <x:v>1</x:v>
      </x:c>
      <x:c r="P45" s="21" t="str">
        <x:f>'원본58건'!M32</x:f>
        <x:v>1</x:v>
      </x:c>
      <x:c r="Q45" s="21" t="str">
        <x:f>O45&amp;"→"&amp;P45</x:f>
        <x:v>1→1</x:v>
      </x:c>
      <x:c r="R45" s="21" t="str">
        <x:f>'원본58건'!G32</x:f>
        <x:v>0</x:v>
      </x:c>
      <x:c r="S45" s="21" t="str">
        <x:f>'원본58건'!I32</x:f>
        <x:v>0</x:v>
      </x:c>
      <x:c r="T45" s="21" t="str">
        <x:f>R45&amp;"→"&amp;S45</x:f>
        <x:v>0→0</x:v>
      </x:c>
    </x:row>
    <x:row r="46">
      <x:c r="A46" t="n">
        <x:f>ROW()-14</x:f>
        <x:v>32</x:v>
      </x:c>
      <x:c r="B46" t="str">
        <x:f>'원본58건'!A33</x:f>
        <x:v>1.2.826.0.1.3680043.8.498.39500553372517290823815606829518305500</x:v>
      </x:c>
      <x:c r="C46" s="21" t="str">
        <x:f>'원본58건'!J33</x:f>
        <x:v>1</x:v>
      </x:c>
      <x:c r="D46" s="21" t="str">
        <x:f>'원본58건'!K33</x:f>
        <x:v>1</x:v>
      </x:c>
      <x:c r="E46" s="21" t="str">
        <x:f>C46&amp;"→"&amp;D46</x:f>
        <x:v>1→1</x:v>
      </x:c>
      <x:c r="F46" s="21" t="str">
        <x:f>'원본58건'!C33</x:f>
        <x:v>0</x:v>
      </x:c>
      <x:c r="G46" s="21" t="str">
        <x:f>'원본58건'!M33</x:f>
        <x:v>0</x:v>
      </x:c>
      <x:c r="H46" s="21" t="str">
        <x:f>F46&amp;"→"&amp;G46</x:f>
        <x:v>0→0</x:v>
      </x:c>
      <x:c r="I46" s="21" t="str">
        <x:f>'원본58건'!E33</x:f>
        <x:v>0</x:v>
      </x:c>
      <x:c r="J46" s="21" t="str">
        <x:f>'원본58건'!G33</x:f>
        <x:v>0</x:v>
      </x:c>
      <x:c r="K46" s="21" t="str">
        <x:f>I46&amp;"→"&amp;J46</x:f>
        <x:v>0→0</x:v>
      </x:c>
      <x:c r="L46" s="21" t="str">
        <x:f>'원본58건'!F33</x:f>
        <x:v>1</x:v>
      </x:c>
      <x:c r="M46" s="21" t="str">
        <x:f>'원본58건'!H33</x:f>
        <x:v>1</x:v>
      </x:c>
      <x:c r="N46" s="21" t="str">
        <x:f>L46&amp;"→"&amp;M46</x:f>
        <x:v>1→1</x:v>
      </x:c>
      <x:c r="O46" s="21" t="str">
        <x:f>'원본58건'!N33</x:f>
        <x:v>0</x:v>
      </x:c>
      <x:c r="P46" s="21" t="str">
        <x:f>'원본58건'!M33</x:f>
        <x:v>0</x:v>
      </x:c>
      <x:c r="Q46" s="21" t="str">
        <x:f>O46&amp;"→"&amp;P46</x:f>
        <x:v>0→0</x:v>
      </x:c>
      <x:c r="R46" s="21" t="str">
        <x:f>'원본58건'!G33</x:f>
        <x:v>0</x:v>
      </x:c>
      <x:c r="S46" s="21" t="str">
        <x:f>'원본58건'!I33</x:f>
        <x:v>1</x:v>
      </x:c>
      <x:c r="T46" s="21" t="str">
        <x:f>R46&amp;"→"&amp;S46</x:f>
        <x:v>0→1</x:v>
      </x:c>
    </x:row>
    <x:row r="47">
      <x:c r="A47" t="n">
        <x:f>ROW()-14</x:f>
        <x:v>33</x:v>
      </x:c>
      <x:c r="B47" t="str">
        <x:f>'원본58건'!A34</x:f>
        <x:v>1.2.826.0.1.3680043.8.498.41600498783384864111179175518614837125</x:v>
      </x:c>
      <x:c r="C47" s="21" t="str">
        <x:f>'원본58건'!J34</x:f>
        <x:v>0</x:v>
      </x:c>
      <x:c r="D47" s="21" t="str">
        <x:f>'원본58건'!K34</x:f>
        <x:v>0</x:v>
      </x:c>
      <x:c r="E47" s="21" t="str">
        <x:f>C47&amp;"→"&amp;D47</x:f>
        <x:v>0→0</x:v>
      </x:c>
      <x:c r="F47" s="21" t="str">
        <x:f>'원본58건'!C34</x:f>
        <x:v>1</x:v>
      </x:c>
      <x:c r="G47" s="21" t="str">
        <x:f>'원본58건'!M34</x:f>
        <x:v>1</x:v>
      </x:c>
      <x:c r="H47" s="21" t="str">
        <x:f>F47&amp;"→"&amp;G47</x:f>
        <x:v>1→1</x:v>
      </x:c>
      <x:c r="I47" s="21" t="str">
        <x:f>'원본58건'!E34</x:f>
        <x:v>1</x:v>
      </x:c>
      <x:c r="J47" s="21" t="str">
        <x:f>'원본58건'!G34</x:f>
        <x:v>0</x:v>
      </x:c>
      <x:c r="K47" s="21" t="str">
        <x:f>I47&amp;"→"&amp;J47</x:f>
        <x:v>1→0</x:v>
      </x:c>
      <x:c r="L47" s="21" t="str">
        <x:f>'원본58건'!F34</x:f>
        <x:v>0</x:v>
      </x:c>
      <x:c r="M47" s="21" t="str">
        <x:f>'원본58건'!H34</x:f>
        <x:v>0</x:v>
      </x:c>
      <x:c r="N47" s="21" t="str">
        <x:f>L47&amp;"→"&amp;M47</x:f>
        <x:v>0→0</x:v>
      </x:c>
      <x:c r="O47" s="21" t="str">
        <x:f>'원본58건'!N34</x:f>
        <x:v>0</x:v>
      </x:c>
      <x:c r="P47" s="21" t="str">
        <x:f>'원본58건'!M34</x:f>
        <x:v>1</x:v>
      </x:c>
      <x:c r="Q47" s="21" t="str">
        <x:f>O47&amp;"→"&amp;P47</x:f>
        <x:v>0→1</x:v>
      </x:c>
      <x:c r="R47" s="21" t="str">
        <x:f>'원본58건'!G34</x:f>
        <x:v>0</x:v>
      </x:c>
      <x:c r="S47" s="21" t="str">
        <x:f>'원본58건'!I34</x:f>
        <x:v>0</x:v>
      </x:c>
      <x:c r="T47" s="21" t="str">
        <x:f>R47&amp;"→"&amp;S47</x:f>
        <x:v>0→0</x:v>
      </x:c>
    </x:row>
    <x:row r="48">
      <x:c r="A48" t="n">
        <x:f>ROW()-14</x:f>
        <x:v>34</x:v>
      </x:c>
      <x:c r="B48" t="str">
        <x:f>'원본58건'!A35</x:f>
        <x:v>1.2.826.0.1.3680043.8.498.47921753480592595198052407850568677187</x:v>
      </x:c>
      <x:c r="C48" s="21" t="str">
        <x:f>'원본58건'!J35</x:f>
        <x:v>1</x:v>
      </x:c>
      <x:c r="D48" s="21" t="str">
        <x:f>'원본58건'!K35</x:f>
        <x:v>1</x:v>
      </x:c>
      <x:c r="E48" s="21" t="str">
        <x:f>C48&amp;"→"&amp;D48</x:f>
        <x:v>1→1</x:v>
      </x:c>
      <x:c r="F48" s="21" t="str">
        <x:f>'원본58건'!C35</x:f>
        <x:v>0</x:v>
      </x:c>
      <x:c r="G48" s="21" t="str">
        <x:f>'원본58건'!M35</x:f>
        <x:v>0</x:v>
      </x:c>
      <x:c r="H48" s="21" t="str">
        <x:f>F48&amp;"→"&amp;G48</x:f>
        <x:v>0→0</x:v>
      </x:c>
      <x:c r="I48" s="21" t="str">
        <x:f>'원본58건'!E35</x:f>
        <x:v>1</x:v>
      </x:c>
      <x:c r="J48" s="21" t="str">
        <x:f>'원본58건'!G35</x:f>
        <x:v>0</x:v>
      </x:c>
      <x:c r="K48" s="21" t="str">
        <x:f>I48&amp;"→"&amp;J48</x:f>
        <x:v>1→0</x:v>
      </x:c>
      <x:c r="L48" s="21" t="str">
        <x:f>'원본58건'!F35</x:f>
        <x:v>0</x:v>
      </x:c>
      <x:c r="M48" s="21" t="str">
        <x:f>'원본58건'!H35</x:f>
        <x:v>0</x:v>
      </x:c>
      <x:c r="N48" s="21" t="str">
        <x:f>L48&amp;"→"&amp;M48</x:f>
        <x:v>0→0</x:v>
      </x:c>
      <x:c r="O48" s="21" t="str">
        <x:f>'원본58건'!N35</x:f>
        <x:v>1</x:v>
      </x:c>
      <x:c r="P48" s="21" t="str">
        <x:f>'원본58건'!M35</x:f>
        <x:v>0</x:v>
      </x:c>
      <x:c r="Q48" s="21" t="str">
        <x:f>O48&amp;"→"&amp;P48</x:f>
        <x:v>1→0</x:v>
      </x:c>
      <x:c r="R48" s="21" t="str">
        <x:f>'원본58건'!G35</x:f>
        <x:v>0</x:v>
      </x:c>
      <x:c r="S48" s="21" t="str">
        <x:f>'원본58건'!I35</x:f>
        <x:v>0</x:v>
      </x:c>
      <x:c r="T48" s="21" t="str">
        <x:f>R48&amp;"→"&amp;S48</x:f>
        <x:v>0→0</x:v>
      </x:c>
    </x:row>
    <x:row r="49">
      <x:c r="A49" t="n">
        <x:f>ROW()-14</x:f>
        <x:v>35</x:v>
      </x:c>
      <x:c r="B49" t="str">
        <x:f>'원본58건'!A36</x:f>
        <x:v>1.2.826.0.1.3680043.8.498.48348615349418615469875801439348424274</x:v>
      </x:c>
      <x:c r="C49" s="21" t="str">
        <x:f>'원본58건'!J36</x:f>
        <x:v>0</x:v>
      </x:c>
      <x:c r="D49" s="21" t="str">
        <x:f>'원본58건'!K36</x:f>
        <x:v>0</x:v>
      </x:c>
      <x:c r="E49" s="21" t="str">
        <x:f>C49&amp;"→"&amp;D49</x:f>
        <x:v>0→0</x:v>
      </x:c>
      <x:c r="F49" s="21" t="str">
        <x:f>'원본58건'!C36</x:f>
        <x:v>0</x:v>
      </x:c>
      <x:c r="G49" s="21" t="str">
        <x:f>'원본58건'!M36</x:f>
        <x:v>0</x:v>
      </x:c>
      <x:c r="H49" s="21" t="str">
        <x:f>F49&amp;"→"&amp;G49</x:f>
        <x:v>0→0</x:v>
      </x:c>
      <x:c r="I49" s="21" t="str">
        <x:f>'원본58건'!E36</x:f>
        <x:v>0</x:v>
      </x:c>
      <x:c r="J49" s="21" t="str">
        <x:f>'원본58건'!G36</x:f>
        <x:v>0</x:v>
      </x:c>
      <x:c r="K49" s="21" t="str">
        <x:f>I49&amp;"→"&amp;J49</x:f>
        <x:v>0→0</x:v>
      </x:c>
      <x:c r="L49" s="21" t="str">
        <x:f>'원본58건'!F36</x:f>
        <x:v>0</x:v>
      </x:c>
      <x:c r="M49" s="21" t="str">
        <x:f>'원본58건'!H36</x:f>
        <x:v>0</x:v>
      </x:c>
      <x:c r="N49" s="21" t="str">
        <x:f>L49&amp;"→"&amp;M49</x:f>
        <x:v>0→0</x:v>
      </x:c>
      <x:c r="O49" s="21" t="str">
        <x:f>'원본58건'!N36</x:f>
        <x:v>0</x:v>
      </x:c>
      <x:c r="P49" s="21" t="str">
        <x:f>'원본58건'!M36</x:f>
        <x:v>0</x:v>
      </x:c>
      <x:c r="Q49" s="21" t="str">
        <x:f>O49&amp;"→"&amp;P49</x:f>
        <x:v>0→0</x:v>
      </x:c>
      <x:c r="R49" s="21" t="str">
        <x:f>'원본58건'!G36</x:f>
        <x:v>0</x:v>
      </x:c>
      <x:c r="S49" s="21" t="str">
        <x:f>'원본58건'!I36</x:f>
        <x:v>0</x:v>
      </x:c>
      <x:c r="T49" s="21" t="str">
        <x:f>R49&amp;"→"&amp;S49</x:f>
        <x:v>0→0</x:v>
      </x:c>
    </x:row>
    <x:row r="50">
      <x:c r="A50" t="n">
        <x:f>ROW()-14</x:f>
        <x:v>36</x:v>
      </x:c>
      <x:c r="B50" t="str">
        <x:f>'원본58건'!A37</x:f>
        <x:v>1.2.826.0.1.3680043.8.498.48946580946665031852355005294734101132</x:v>
      </x:c>
      <x:c r="C50" s="21" t="str">
        <x:f>'원본58건'!J37</x:f>
        <x:v>1</x:v>
      </x:c>
      <x:c r="D50" s="21" t="str">
        <x:f>'원본58건'!K37</x:f>
        <x:v>0</x:v>
      </x:c>
      <x:c r="E50" s="21" t="str">
        <x:f>C50&amp;"→"&amp;D50</x:f>
        <x:v>1→0</x:v>
      </x:c>
      <x:c r="F50" s="21" t="str">
        <x:f>'원본58건'!C37</x:f>
        <x:v>1</x:v>
      </x:c>
      <x:c r="G50" s="21" t="str">
        <x:f>'원본58건'!M37</x:f>
        <x:v>1</x:v>
      </x:c>
      <x:c r="H50" s="21" t="str">
        <x:f>F50&amp;"→"&amp;G50</x:f>
        <x:v>1→1</x:v>
      </x:c>
      <x:c r="I50" s="21" t="str">
        <x:f>'원본58건'!E37</x:f>
        <x:v>0</x:v>
      </x:c>
      <x:c r="J50" s="21" t="str">
        <x:f>'원본58건'!G37</x:f>
        <x:v>0</x:v>
      </x:c>
      <x:c r="K50" s="21" t="str">
        <x:f>I50&amp;"→"&amp;J50</x:f>
        <x:v>0→0</x:v>
      </x:c>
      <x:c r="L50" s="21" t="str">
        <x:f>'원본58건'!F37</x:f>
        <x:v>0</x:v>
      </x:c>
      <x:c r="M50" s="21" t="str">
        <x:f>'원본58건'!H37</x:f>
        <x:v>0</x:v>
      </x:c>
      <x:c r="N50" s="21" t="str">
        <x:f>L50&amp;"→"&amp;M50</x:f>
        <x:v>0→0</x:v>
      </x:c>
      <x:c r="O50" s="21" t="str">
        <x:f>'원본58건'!N37</x:f>
        <x:v>0</x:v>
      </x:c>
      <x:c r="P50" s="21" t="str">
        <x:f>'원본58건'!M37</x:f>
        <x:v>1</x:v>
      </x:c>
      <x:c r="Q50" s="21" t="str">
        <x:f>O50&amp;"→"&amp;P50</x:f>
        <x:v>0→1</x:v>
      </x:c>
      <x:c r="R50" s="21" t="str">
        <x:f>'원본58건'!G37</x:f>
        <x:v>0</x:v>
      </x:c>
      <x:c r="S50" s="21" t="str">
        <x:f>'원본58건'!I37</x:f>
        <x:v>0</x:v>
      </x:c>
      <x:c r="T50" s="21" t="str">
        <x:f>R50&amp;"→"&amp;S50</x:f>
        <x:v>0→0</x:v>
      </x:c>
    </x:row>
    <x:row r="51">
      <x:c r="A51" t="n">
        <x:f>ROW()-14</x:f>
        <x:v>37</x:v>
      </x:c>
      <x:c r="B51" t="str">
        <x:f>'원본58건'!A38</x:f>
        <x:v>1.2.826.0.1.3680043.8.498.54977581323931277817074741182670080450</x:v>
      </x:c>
      <x:c r="C51" s="21" t="str">
        <x:f>'원본58건'!J38</x:f>
        <x:v>0</x:v>
      </x:c>
      <x:c r="D51" s="21" t="str">
        <x:f>'원본58건'!K38</x:f>
        <x:v>0</x:v>
      </x:c>
      <x:c r="E51" s="21" t="str">
        <x:f>C51&amp;"→"&amp;D51</x:f>
        <x:v>0→0</x:v>
      </x:c>
      <x:c r="F51" s="21" t="str">
        <x:f>'원본58건'!C38</x:f>
        <x:v>0</x:v>
      </x:c>
      <x:c r="G51" s="21" t="str">
        <x:f>'원본58건'!M38</x:f>
        <x:v>0</x:v>
      </x:c>
      <x:c r="H51" s="21" t="str">
        <x:f>F51&amp;"→"&amp;G51</x:f>
        <x:v>0→0</x:v>
      </x:c>
      <x:c r="I51" s="21" t="str">
        <x:f>'원본58건'!E38</x:f>
        <x:v>0</x:v>
      </x:c>
      <x:c r="J51" s="21" t="str">
        <x:f>'원본58건'!G38</x:f>
        <x:v>0</x:v>
      </x:c>
      <x:c r="K51" s="21" t="str">
        <x:f>I51&amp;"→"&amp;J51</x:f>
        <x:v>0→0</x:v>
      </x:c>
      <x:c r="L51" s="21" t="str">
        <x:f>'원본58건'!F38</x:f>
        <x:v>1</x:v>
      </x:c>
      <x:c r="M51" s="21" t="str">
        <x:f>'원본58건'!H38</x:f>
        <x:v>0</x:v>
      </x:c>
      <x:c r="N51" s="21" t="str">
        <x:f>L51&amp;"→"&amp;M51</x:f>
        <x:v>1→0</x:v>
      </x:c>
      <x:c r="O51" s="21" t="str">
        <x:f>'원본58건'!N38</x:f>
        <x:v>0</x:v>
      </x:c>
      <x:c r="P51" s="21" t="str">
        <x:f>'원본58건'!M38</x:f>
        <x:v>0</x:v>
      </x:c>
      <x:c r="Q51" s="21" t="str">
        <x:f>O51&amp;"→"&amp;P51</x:f>
        <x:v>0→0</x:v>
      </x:c>
      <x:c r="R51" s="21" t="str">
        <x:f>'원본58건'!G38</x:f>
        <x:v>0</x:v>
      </x:c>
      <x:c r="S51" s="21" t="str">
        <x:f>'원본58건'!I38</x:f>
        <x:v>0</x:v>
      </x:c>
      <x:c r="T51" s="21" t="str">
        <x:f>R51&amp;"→"&amp;S51</x:f>
        <x:v>0→0</x:v>
      </x:c>
    </x:row>
    <x:row r="52">
      <x:c r="A52" t="n">
        <x:f>ROW()-14</x:f>
        <x:v>38</x:v>
      </x:c>
      <x:c r="B52" t="str">
        <x:f>'원본58건'!A39</x:f>
        <x:v>1.2.826.0.1.3680043.8.498.56512564464301544960446419143135447363</x:v>
      </x:c>
      <x:c r="C52" s="21" t="str">
        <x:f>'원본58건'!J39</x:f>
        <x:v>1</x:v>
      </x:c>
      <x:c r="D52" s="21" t="str">
        <x:f>'원본58건'!K39</x:f>
        <x:v>1</x:v>
      </x:c>
      <x:c r="E52" s="21" t="str">
        <x:f>C52&amp;"→"&amp;D52</x:f>
        <x:v>1→1</x:v>
      </x:c>
      <x:c r="F52" s="21" t="str">
        <x:f>'원본58건'!C39</x:f>
        <x:v>0</x:v>
      </x:c>
      <x:c r="G52" s="21" t="str">
        <x:f>'원본58건'!M39</x:f>
        <x:v>0</x:v>
      </x:c>
      <x:c r="H52" s="21" t="str">
        <x:f>F52&amp;"→"&amp;G52</x:f>
        <x:v>0→0</x:v>
      </x:c>
      <x:c r="I52" s="21" t="str">
        <x:f>'원본58건'!E39</x:f>
        <x:v>0</x:v>
      </x:c>
      <x:c r="J52" s="21" t="str">
        <x:f>'원본58건'!G39</x:f>
        <x:v>1</x:v>
      </x:c>
      <x:c r="K52" s="21" t="str">
        <x:f>I52&amp;"→"&amp;J52</x:f>
        <x:v>0→1</x:v>
      </x:c>
      <x:c r="L52" s="21" t="str">
        <x:f>'원본58건'!F39</x:f>
        <x:v>0</x:v>
      </x:c>
      <x:c r="M52" s="21" t="str">
        <x:f>'원본58건'!H39</x:f>
        <x:v>0</x:v>
      </x:c>
      <x:c r="N52" s="21" t="str">
        <x:f>L52&amp;"→"&amp;M52</x:f>
        <x:v>0→0</x:v>
      </x:c>
      <x:c r="O52" s="21" t="str">
        <x:f>'원본58건'!N39</x:f>
        <x:v>0</x:v>
      </x:c>
      <x:c r="P52" s="21" t="str">
        <x:f>'원본58건'!M39</x:f>
        <x:v>0</x:v>
      </x:c>
      <x:c r="Q52" s="21" t="str">
        <x:f>O52&amp;"→"&amp;P52</x:f>
        <x:v>0→0</x:v>
      </x:c>
      <x:c r="R52" s="21" t="str">
        <x:f>'원본58건'!G39</x:f>
        <x:v>1</x:v>
      </x:c>
      <x:c r="S52" s="21" t="str">
        <x:f>'원본58건'!I39</x:f>
        <x:v>1</x:v>
      </x:c>
      <x:c r="T52" s="21" t="str">
        <x:f>R52&amp;"→"&amp;S52</x:f>
        <x:v>1→1</x:v>
      </x:c>
    </x:row>
    <x:row r="53">
      <x:c r="A53" t="n">
        <x:f>ROW()-14</x:f>
        <x:v>39</x:v>
      </x:c>
      <x:c r="B53" t="str">
        <x:f>'원본58건'!A40</x:f>
        <x:v>1.2.826.0.1.3680043.8.498.59483999067816153759785789654766826710</x:v>
      </x:c>
      <x:c r="C53" s="21" t="str">
        <x:f>'원본58건'!J40</x:f>
        <x:v>1</x:v>
      </x:c>
      <x:c r="D53" s="21" t="str">
        <x:f>'원본58건'!K40</x:f>
        <x:v>1</x:v>
      </x:c>
      <x:c r="E53" s="21" t="str">
        <x:f>C53&amp;"→"&amp;D53</x:f>
        <x:v>1→1</x:v>
      </x:c>
      <x:c r="F53" s="21" t="str">
        <x:f>'원본58건'!C40</x:f>
        <x:v>1</x:v>
      </x:c>
      <x:c r="G53" s="21" t="str">
        <x:f>'원본58건'!M40</x:f>
        <x:v>1</x:v>
      </x:c>
      <x:c r="H53" s="21" t="str">
        <x:f>F53&amp;"→"&amp;G53</x:f>
        <x:v>1→1</x:v>
      </x:c>
      <x:c r="I53" s="21" t="str">
        <x:f>'원본58건'!E40</x:f>
        <x:v>0</x:v>
      </x:c>
      <x:c r="J53" s="21" t="str">
        <x:f>'원본58건'!G40</x:f>
        <x:v>0</x:v>
      </x:c>
      <x:c r="K53" s="21" t="str">
        <x:f>I53&amp;"→"&amp;J53</x:f>
        <x:v>0→0</x:v>
      </x:c>
      <x:c r="L53" s="21" t="str">
        <x:f>'원본58건'!F40</x:f>
        <x:v>0</x:v>
      </x:c>
      <x:c r="M53" s="21" t="str">
        <x:f>'원본58건'!H40</x:f>
        <x:v>0</x:v>
      </x:c>
      <x:c r="N53" s="21" t="str">
        <x:f>L53&amp;"→"&amp;M53</x:f>
        <x:v>0→0</x:v>
      </x:c>
      <x:c r="O53" s="21" t="str">
        <x:f>'원본58건'!N40</x:f>
        <x:v>1</x:v>
      </x:c>
      <x:c r="P53" s="21" t="str">
        <x:f>'원본58건'!M40</x:f>
        <x:v>1</x:v>
      </x:c>
      <x:c r="Q53" s="21" t="str">
        <x:f>O53&amp;"→"&amp;P53</x:f>
        <x:v>1→1</x:v>
      </x:c>
      <x:c r="R53" s="21" t="str">
        <x:f>'원본58건'!G40</x:f>
        <x:v>0</x:v>
      </x:c>
      <x:c r="S53" s="21" t="str">
        <x:f>'원본58건'!I40</x:f>
        <x:v>0</x:v>
      </x:c>
      <x:c r="T53" s="21" t="str">
        <x:f>R53&amp;"→"&amp;S53</x:f>
        <x:v>0→0</x:v>
      </x:c>
    </x:row>
    <x:row r="54">
      <x:c r="A54" t="n">
        <x:f>ROW()-14</x:f>
        <x:v>40</x:v>
      </x:c>
      <x:c r="B54" t="str">
        <x:f>'원본58건'!A41</x:f>
        <x:v>1.2.826.0.1.3680043.8.498.62465595376489211274225312453216559395</x:v>
      </x:c>
      <x:c r="C54" s="21" t="str">
        <x:f>'원본58건'!J41</x:f>
        <x:v>1</x:v>
      </x:c>
      <x:c r="D54" s="21" t="str">
        <x:f>'원본58건'!K41</x:f>
        <x:v>1</x:v>
      </x:c>
      <x:c r="E54" s="21" t="str">
        <x:f>C54&amp;"→"&amp;D54</x:f>
        <x:v>1→1</x:v>
      </x:c>
      <x:c r="F54" s="21" t="str">
        <x:f>'원본58건'!C41</x:f>
        <x:v>1</x:v>
      </x:c>
      <x:c r="G54" s="21" t="str">
        <x:f>'원본58건'!M41</x:f>
        <x:v>0</x:v>
      </x:c>
      <x:c r="H54" s="21" t="str">
        <x:f>F54&amp;"→"&amp;G54</x:f>
        <x:v>1→0</x:v>
      </x:c>
      <x:c r="I54" s="21" t="str">
        <x:f>'원본58건'!E41</x:f>
        <x:v>1</x:v>
      </x:c>
      <x:c r="J54" s="21" t="str">
        <x:f>'원본58건'!G41</x:f>
        <x:v>0</x:v>
      </x:c>
      <x:c r="K54" s="21" t="str">
        <x:f>I54&amp;"→"&amp;J54</x:f>
        <x:v>1→0</x:v>
      </x:c>
      <x:c r="L54" s="21" t="str">
        <x:f>'원본58건'!F41</x:f>
        <x:v>0</x:v>
      </x:c>
      <x:c r="M54" s="21" t="str">
        <x:f>'원본58건'!H41</x:f>
        <x:v>1</x:v>
      </x:c>
      <x:c r="N54" s="21" t="str">
        <x:f>L54&amp;"→"&amp;M54</x:f>
        <x:v>0→1</x:v>
      </x:c>
      <x:c r="O54" s="21" t="str">
        <x:f>'원본58건'!N41</x:f>
        <x:v>1</x:v>
      </x:c>
      <x:c r="P54" s="21" t="str">
        <x:f>'원본58건'!M41</x:f>
        <x:v>0</x:v>
      </x:c>
      <x:c r="Q54" s="21" t="str">
        <x:f>O54&amp;"→"&amp;P54</x:f>
        <x:v>1→0</x:v>
      </x:c>
      <x:c r="R54" s="21" t="str">
        <x:f>'원본58건'!G41</x:f>
        <x:v>0</x:v>
      </x:c>
      <x:c r="S54" s="21" t="str">
        <x:f>'원본58건'!I41</x:f>
        <x:v>0</x:v>
      </x:c>
      <x:c r="T54" s="21" t="str">
        <x:f>R54&amp;"→"&amp;S54</x:f>
        <x:v>0→0</x:v>
      </x:c>
    </x:row>
    <x:row r="55">
      <x:c r="A55" t="n">
        <x:f>ROW()-14</x:f>
        <x:v>41</x:v>
      </x:c>
      <x:c r="B55" t="str">
        <x:f>'원본58건'!A42</x:f>
        <x:v>1.2.826.0.1.3680043.8.498.62549354677638403845904556149868367236</x:v>
      </x:c>
      <x:c r="C55" s="21" t="str">
        <x:f>'원본58건'!J42</x:f>
        <x:v>1</x:v>
      </x:c>
      <x:c r="D55" s="21" t="str">
        <x:f>'원본58건'!K42</x:f>
        <x:v>1</x:v>
      </x:c>
      <x:c r="E55" s="21" t="str">
        <x:f>C55&amp;"→"&amp;D55</x:f>
        <x:v>1→1</x:v>
      </x:c>
      <x:c r="F55" s="21" t="str">
        <x:f>'원본58건'!C42</x:f>
        <x:v>1</x:v>
      </x:c>
      <x:c r="G55" s="21" t="str">
        <x:f>'원본58건'!M42</x:f>
        <x:v>1</x:v>
      </x:c>
      <x:c r="H55" s="21" t="str">
        <x:f>F55&amp;"→"&amp;G55</x:f>
        <x:v>1→1</x:v>
      </x:c>
      <x:c r="I55" s="21" t="str">
        <x:f>'원본58건'!E42</x:f>
        <x:v>0</x:v>
      </x:c>
      <x:c r="J55" s="21" t="str">
        <x:f>'원본58건'!G42</x:f>
        <x:v>0</x:v>
      </x:c>
      <x:c r="K55" s="21" t="str">
        <x:f>I55&amp;"→"&amp;J55</x:f>
        <x:v>0→0</x:v>
      </x:c>
      <x:c r="L55" s="21" t="str">
        <x:f>'원본58건'!F42</x:f>
        <x:v>1</x:v>
      </x:c>
      <x:c r="M55" s="21" t="str">
        <x:f>'원본58건'!H42</x:f>
        <x:v>0</x:v>
      </x:c>
      <x:c r="N55" s="21" t="str">
        <x:f>L55&amp;"→"&amp;M55</x:f>
        <x:v>1→0</x:v>
      </x:c>
      <x:c r="O55" s="21" t="str">
        <x:f>'원본58건'!N42</x:f>
        <x:v>0</x:v>
      </x:c>
      <x:c r="P55" s="21" t="str">
        <x:f>'원본58건'!M42</x:f>
        <x:v>1</x:v>
      </x:c>
      <x:c r="Q55" s="21" t="str">
        <x:f>O55&amp;"→"&amp;P55</x:f>
        <x:v>0→1</x:v>
      </x:c>
      <x:c r="R55" s="21" t="str">
        <x:f>'원본58건'!G42</x:f>
        <x:v>0</x:v>
      </x:c>
      <x:c r="S55" s="21" t="str">
        <x:f>'원본58건'!I42</x:f>
        <x:v>0</x:v>
      </x:c>
      <x:c r="T55" s="21" t="str">
        <x:f>R55&amp;"→"&amp;S55</x:f>
        <x:v>0→0</x:v>
      </x:c>
    </x:row>
    <x:row r="56">
      <x:c r="A56" t="n">
        <x:f>ROW()-14</x:f>
        <x:v>42</x:v>
      </x:c>
      <x:c r="B56" t="str">
        <x:f>'원본58건'!A43</x:f>
        <x:v>1.2.826.0.1.3680043.8.498.64408609256163127278435484217683272910</x:v>
      </x:c>
      <x:c r="C56" s="21" t="str">
        <x:f>'원본58건'!J43</x:f>
        <x:v>1</x:v>
      </x:c>
      <x:c r="D56" s="21" t="str">
        <x:f>'원본58건'!K43</x:f>
        <x:v>1</x:v>
      </x:c>
      <x:c r="E56" s="21" t="str">
        <x:f>C56&amp;"→"&amp;D56</x:f>
        <x:v>1→1</x:v>
      </x:c>
      <x:c r="F56" s="21" t="str">
        <x:f>'원본58건'!C43</x:f>
        <x:v>0</x:v>
      </x:c>
      <x:c r="G56" s="21" t="str">
        <x:f>'원본58건'!M43</x:f>
        <x:v>0</x:v>
      </x:c>
      <x:c r="H56" s="21" t="str">
        <x:f>F56&amp;"→"&amp;G56</x:f>
        <x:v>0→0</x:v>
      </x:c>
      <x:c r="I56" s="21" t="str">
        <x:f>'원본58건'!E43</x:f>
        <x:v>1</x:v>
      </x:c>
      <x:c r="J56" s="21" t="str">
        <x:f>'원본58건'!G43</x:f>
        <x:v>1</x:v>
      </x:c>
      <x:c r="K56" s="21" t="str">
        <x:f>I56&amp;"→"&amp;J56</x:f>
        <x:v>1→1</x:v>
      </x:c>
      <x:c r="L56" s="21" t="str">
        <x:f>'원본58건'!F43</x:f>
        <x:v>0</x:v>
      </x:c>
      <x:c r="M56" s="21" t="str">
        <x:f>'원본58건'!H43</x:f>
        <x:v>0</x:v>
      </x:c>
      <x:c r="N56" s="21" t="str">
        <x:f>L56&amp;"→"&amp;M56</x:f>
        <x:v>0→0</x:v>
      </x:c>
      <x:c r="O56" s="21" t="str">
        <x:f>'원본58건'!N43</x:f>
        <x:v>0</x:v>
      </x:c>
      <x:c r="P56" s="21" t="str">
        <x:f>'원본58건'!M43</x:f>
        <x:v>0</x:v>
      </x:c>
      <x:c r="Q56" s="21" t="str">
        <x:f>O56&amp;"→"&amp;P56</x:f>
        <x:v>0→0</x:v>
      </x:c>
      <x:c r="R56" s="21" t="str">
        <x:f>'원본58건'!G43</x:f>
        <x:v>1</x:v>
      </x:c>
      <x:c r="S56" s="21" t="str">
        <x:f>'원본58건'!I43</x:f>
        <x:v>0</x:v>
      </x:c>
      <x:c r="T56" s="21" t="str">
        <x:f>R56&amp;"→"&amp;S56</x:f>
        <x:v>1→0</x:v>
      </x:c>
    </x:row>
    <x:row r="57">
      <x:c r="A57" t="n">
        <x:f>ROW()-14</x:f>
        <x:v>43</x:v>
      </x:c>
      <x:c r="B57" t="str">
        <x:f>'원본58건'!A44</x:f>
        <x:v>1.2.826.0.1.3680043.8.498.64703506772167798469048460791472465039</x:v>
      </x:c>
      <x:c r="C57" s="21" t="str">
        <x:f>'원본58건'!J44</x:f>
        <x:v>1</x:v>
      </x:c>
      <x:c r="D57" s="21" t="str">
        <x:f>'원본58건'!K44</x:f>
        <x:v>0</x:v>
      </x:c>
      <x:c r="E57" s="21" t="str">
        <x:f>C57&amp;"→"&amp;D57</x:f>
        <x:v>1→0</x:v>
      </x:c>
      <x:c r="F57" s="21" t="str">
        <x:f>'원본58건'!C44</x:f>
        <x:v>0</x:v>
      </x:c>
      <x:c r="G57" s="21" t="str">
        <x:f>'원본58건'!M44</x:f>
        <x:v>1</x:v>
      </x:c>
      <x:c r="H57" s="21" t="str">
        <x:f>F57&amp;"→"&amp;G57</x:f>
        <x:v>0→1</x:v>
      </x:c>
      <x:c r="I57" s="21" t="str">
        <x:f>'원본58건'!E44</x:f>
        <x:v>1</x:v>
      </x:c>
      <x:c r="J57" s="21" t="str">
        <x:f>'원본58건'!G44</x:f>
        <x:v>0</x:v>
      </x:c>
      <x:c r="K57" s="21" t="str">
        <x:f>I57&amp;"→"&amp;J57</x:f>
        <x:v>1→0</x:v>
      </x:c>
      <x:c r="L57" s="21" t="str">
        <x:f>'원본58건'!F44</x:f>
        <x:v>1</x:v>
      </x:c>
      <x:c r="M57" s="21" t="str">
        <x:f>'원본58건'!H44</x:f>
        <x:v>0</x:v>
      </x:c>
      <x:c r="N57" s="21" t="str">
        <x:f>L57&amp;"→"&amp;M57</x:f>
        <x:v>1→0</x:v>
      </x:c>
      <x:c r="O57" s="21" t="str">
        <x:f>'원본58건'!N44</x:f>
        <x:v>1</x:v>
      </x:c>
      <x:c r="P57" s="21" t="str">
        <x:f>'원본58건'!M44</x:f>
        <x:v>1</x:v>
      </x:c>
      <x:c r="Q57" s="21" t="str">
        <x:f>O57&amp;"→"&amp;P57</x:f>
        <x:v>1→1</x:v>
      </x:c>
      <x:c r="R57" s="21" t="str">
        <x:f>'원본58건'!G44</x:f>
        <x:v>0</x:v>
      </x:c>
      <x:c r="S57" s="21" t="str">
        <x:f>'원본58건'!I44</x:f>
        <x:v>0</x:v>
      </x:c>
      <x:c r="T57" s="21" t="str">
        <x:f>R57&amp;"→"&amp;S57</x:f>
        <x:v>0→0</x:v>
      </x:c>
    </x:row>
    <x:row r="58">
      <x:c r="A58" t="n">
        <x:f>ROW()-14</x:f>
        <x:v>44</x:v>
      </x:c>
      <x:c r="B58" t="str">
        <x:f>'원본58건'!A45</x:f>
        <x:v>1.2.826.0.1.3680043.8.498.65708905118633339771181857781063784327</x:v>
      </x:c>
      <x:c r="C58" s="21" t="str">
        <x:f>'원본58건'!J45</x:f>
        <x:v>1</x:v>
      </x:c>
      <x:c r="D58" s="21" t="str">
        <x:f>'원본58건'!K45</x:f>
        <x:v>1</x:v>
      </x:c>
      <x:c r="E58" s="21" t="str">
        <x:f>C58&amp;"→"&amp;D58</x:f>
        <x:v>1→1</x:v>
      </x:c>
      <x:c r="F58" s="21" t="str">
        <x:f>'원본58건'!C45</x:f>
        <x:v>0</x:v>
      </x:c>
      <x:c r="G58" s="21" t="str">
        <x:f>'원본58건'!M45</x:f>
        <x:v>0</x:v>
      </x:c>
      <x:c r="H58" s="21" t="str">
        <x:f>F58&amp;"→"&amp;G58</x:f>
        <x:v>0→0</x:v>
      </x:c>
      <x:c r="I58" s="21" t="str">
        <x:f>'원본58건'!E45</x:f>
        <x:v>1</x:v>
      </x:c>
      <x:c r="J58" s="21" t="str">
        <x:f>'원본58건'!G45</x:f>
        <x:v>1</x:v>
      </x:c>
      <x:c r="K58" s="21" t="str">
        <x:f>I58&amp;"→"&amp;J58</x:f>
        <x:v>1→1</x:v>
      </x:c>
      <x:c r="L58" s="21" t="str">
        <x:f>'원본58건'!F45</x:f>
        <x:v>1</x:v>
      </x:c>
      <x:c r="M58" s="21" t="str">
        <x:f>'원본58건'!H45</x:f>
        <x:v>1</x:v>
      </x:c>
      <x:c r="N58" s="21" t="str">
        <x:f>L58&amp;"→"&amp;M58</x:f>
        <x:v>1→1</x:v>
      </x:c>
      <x:c r="O58" s="21" t="str">
        <x:f>'원본58건'!N45</x:f>
        <x:v>0</x:v>
      </x:c>
      <x:c r="P58" s="21" t="str">
        <x:f>'원본58건'!M45</x:f>
        <x:v>0</x:v>
      </x:c>
      <x:c r="Q58" s="21" t="str">
        <x:f>O58&amp;"→"&amp;P58</x:f>
        <x:v>0→0</x:v>
      </x:c>
      <x:c r="R58" s="21" t="str">
        <x:f>'원본58건'!G45</x:f>
        <x:v>1</x:v>
      </x:c>
      <x:c r="S58" s="21" t="str">
        <x:f>'원본58건'!I45</x:f>
        <x:v>1</x:v>
      </x:c>
      <x:c r="T58" s="21" t="str">
        <x:f>R58&amp;"→"&amp;S58</x:f>
        <x:v>1→1</x:v>
      </x:c>
    </x:row>
    <x:row r="59">
      <x:c r="A59" t="n">
        <x:f>ROW()-14</x:f>
        <x:v>45</x:v>
      </x:c>
      <x:c r="B59" t="str">
        <x:f>'원본58건'!A46</x:f>
        <x:v>1.2.826.0.1.3680043.8.498.67188121544063723837669983597453941774</x:v>
      </x:c>
      <x:c r="C59" s="21" t="str">
        <x:f>'원본58건'!J46</x:f>
        <x:v>1</x:v>
      </x:c>
      <x:c r="D59" s="21" t="str">
        <x:f>'원본58건'!K46</x:f>
        <x:v>0</x:v>
      </x:c>
      <x:c r="E59" s="21" t="str">
        <x:f>C59&amp;"→"&amp;D59</x:f>
        <x:v>1→0</x:v>
      </x:c>
      <x:c r="F59" s="21" t="str">
        <x:f>'원본58건'!C46</x:f>
        <x:v>1</x:v>
      </x:c>
      <x:c r="G59" s="21" t="str">
        <x:f>'원본58건'!M46</x:f>
        <x:v>0</x:v>
      </x:c>
      <x:c r="H59" s="21" t="str">
        <x:f>F59&amp;"→"&amp;G59</x:f>
        <x:v>1→0</x:v>
      </x:c>
      <x:c r="I59" s="21" t="str">
        <x:f>'원본58건'!E46</x:f>
        <x:v>1</x:v>
      </x:c>
      <x:c r="J59" s="21" t="str">
        <x:f>'원본58건'!G46</x:f>
        <x:v>0</x:v>
      </x:c>
      <x:c r="K59" s="21" t="str">
        <x:f>I59&amp;"→"&amp;J59</x:f>
        <x:v>1→0</x:v>
      </x:c>
      <x:c r="L59" s="21" t="str">
        <x:f>'원본58건'!F46</x:f>
        <x:v>0</x:v>
      </x:c>
      <x:c r="M59" s="21" t="str">
        <x:f>'원본58건'!H46</x:f>
        <x:v>0</x:v>
      </x:c>
      <x:c r="N59" s="21" t="str">
        <x:f>L59&amp;"→"&amp;M59</x:f>
        <x:v>0→0</x:v>
      </x:c>
      <x:c r="O59" s="21" t="str">
        <x:f>'원본58건'!N46</x:f>
        <x:v>0</x:v>
      </x:c>
      <x:c r="P59" s="21" t="str">
        <x:f>'원본58건'!M46</x:f>
        <x:v>0</x:v>
      </x:c>
      <x:c r="Q59" s="21" t="str">
        <x:f>O59&amp;"→"&amp;P59</x:f>
        <x:v>0→0</x:v>
      </x:c>
      <x:c r="R59" s="21" t="str">
        <x:f>'원본58건'!G46</x:f>
        <x:v>0</x:v>
      </x:c>
      <x:c r="S59" s="21" t="str">
        <x:f>'원본58건'!I46</x:f>
        <x:v>0</x:v>
      </x:c>
      <x:c r="T59" s="21" t="str">
        <x:f>R59&amp;"→"&amp;S59</x:f>
        <x:v>0→0</x:v>
      </x:c>
    </x:row>
    <x:row r="60">
      <x:c r="A60" t="n">
        <x:f>ROW()-14</x:f>
        <x:v>46</x:v>
      </x:c>
      <x:c r="B60" t="str">
        <x:f>'원본58건'!A47</x:f>
        <x:v>1.2.826.0.1.3680043.8.498.69392348385274125385290015404144639002</x:v>
      </x:c>
      <x:c r="C60" s="21" t="str">
        <x:f>'원본58건'!J47</x:f>
        <x:v>0</x:v>
      </x:c>
      <x:c r="D60" s="21" t="str">
        <x:f>'원본58건'!K47</x:f>
        <x:v>0</x:v>
      </x:c>
      <x:c r="E60" s="21" t="str">
        <x:f>C60&amp;"→"&amp;D60</x:f>
        <x:v>0→0</x:v>
      </x:c>
      <x:c r="F60" s="21" t="str">
        <x:f>'원본58건'!C47</x:f>
        <x:v>0</x:v>
      </x:c>
      <x:c r="G60" s="21" t="str">
        <x:f>'원본58건'!M47</x:f>
        <x:v>0</x:v>
      </x:c>
      <x:c r="H60" s="21" t="str">
        <x:f>F60&amp;"→"&amp;G60</x:f>
        <x:v>0→0</x:v>
      </x:c>
      <x:c r="I60" s="21" t="str">
        <x:f>'원본58건'!E47</x:f>
        <x:v>0</x:v>
      </x:c>
      <x:c r="J60" s="21" t="str">
        <x:f>'원본58건'!G47</x:f>
        <x:v>0</x:v>
      </x:c>
      <x:c r="K60" s="21" t="str">
        <x:f>I60&amp;"→"&amp;J60</x:f>
        <x:v>0→0</x:v>
      </x:c>
      <x:c r="L60" s="21" t="str">
        <x:f>'원본58건'!F47</x:f>
        <x:v>0</x:v>
      </x:c>
      <x:c r="M60" s="21" t="str">
        <x:f>'원본58건'!H47</x:f>
        <x:v>0</x:v>
      </x:c>
      <x:c r="N60" s="21" t="str">
        <x:f>L60&amp;"→"&amp;M60</x:f>
        <x:v>0→0</x:v>
      </x:c>
      <x:c r="O60" s="21" t="str">
        <x:f>'원본58건'!N47</x:f>
        <x:v>0</x:v>
      </x:c>
      <x:c r="P60" s="21" t="str">
        <x:f>'원본58건'!M47</x:f>
        <x:v>0</x:v>
      </x:c>
      <x:c r="Q60" s="21" t="str">
        <x:f>O60&amp;"→"&amp;P60</x:f>
        <x:v>0→0</x:v>
      </x:c>
      <x:c r="R60" s="21" t="str">
        <x:f>'원본58건'!G47</x:f>
        <x:v>0</x:v>
      </x:c>
      <x:c r="S60" s="21" t="str">
        <x:f>'원본58건'!I47</x:f>
        <x:v>1</x:v>
      </x:c>
      <x:c r="T60" s="21" t="str">
        <x:f>R60&amp;"→"&amp;S60</x:f>
        <x:v>0→1</x:v>
      </x:c>
    </x:row>
    <x:row r="61">
      <x:c r="A61" t="n">
        <x:f>ROW()-14</x:f>
        <x:v>47</x:v>
      </x:c>
      <x:c r="B61" t="str">
        <x:f>'원본58건'!A48</x:f>
        <x:v>1.2.826.0.1.3680043.8.498.72853333220043794904856138561095171921</x:v>
      </x:c>
      <x:c r="C61" s="21" t="str">
        <x:f>'원본58건'!J48</x:f>
        <x:v>0</x:v>
      </x:c>
      <x:c r="D61" s="21" t="str">
        <x:f>'원본58건'!K48</x:f>
        <x:v>0</x:v>
      </x:c>
      <x:c r="E61" s="21" t="str">
        <x:f>C61&amp;"→"&amp;D61</x:f>
        <x:v>0→0</x:v>
      </x:c>
      <x:c r="F61" s="21" t="str">
        <x:f>'원본58건'!C48</x:f>
        <x:v>0</x:v>
      </x:c>
      <x:c r="G61" s="21" t="str">
        <x:f>'원본58건'!M48</x:f>
        <x:v>0</x:v>
      </x:c>
      <x:c r="H61" s="21" t="str">
        <x:f>F61&amp;"→"&amp;G61</x:f>
        <x:v>0→0</x:v>
      </x:c>
      <x:c r="I61" s="21" t="str">
        <x:f>'원본58건'!E48</x:f>
        <x:v>0</x:v>
      </x:c>
      <x:c r="J61" s="21" t="str">
        <x:f>'원본58건'!G48</x:f>
        <x:v>0</x:v>
      </x:c>
      <x:c r="K61" s="21" t="str">
        <x:f>I61&amp;"→"&amp;J61</x:f>
        <x:v>0→0</x:v>
      </x:c>
      <x:c r="L61" s="21" t="str">
        <x:f>'원본58건'!F48</x:f>
        <x:v>0</x:v>
      </x:c>
      <x:c r="M61" s="21" t="str">
        <x:f>'원본58건'!H48</x:f>
        <x:v>0</x:v>
      </x:c>
      <x:c r="N61" s="21" t="str">
        <x:f>L61&amp;"→"&amp;M61</x:f>
        <x:v>0→0</x:v>
      </x:c>
      <x:c r="O61" s="21" t="str">
        <x:f>'원본58건'!N48</x:f>
        <x:v>0</x:v>
      </x:c>
      <x:c r="P61" s="21" t="str">
        <x:f>'원본58건'!M48</x:f>
        <x:v>0</x:v>
      </x:c>
      <x:c r="Q61" s="21" t="str">
        <x:f>O61&amp;"→"&amp;P61</x:f>
        <x:v>0→0</x:v>
      </x:c>
      <x:c r="R61" s="21" t="str">
        <x:f>'원본58건'!G48</x:f>
        <x:v>0</x:v>
      </x:c>
      <x:c r="S61" s="21" t="str">
        <x:f>'원본58건'!I48</x:f>
        <x:v>0</x:v>
      </x:c>
      <x:c r="T61" s="21" t="str">
        <x:f>R61&amp;"→"&amp;S61</x:f>
        <x:v>0→0</x:v>
      </x:c>
    </x:row>
    <x:row r="62">
      <x:c r="A62" t="n">
        <x:f>ROW()-14</x:f>
        <x:v>48</x:v>
      </x:c>
      <x:c r="B62" t="str">
        <x:f>'원본58건'!A49</x:f>
        <x:v>1.2.826.0.1.3680043.8.498.73527530686853911124431549317032662220</x:v>
      </x:c>
      <x:c r="C62" s="21" t="str">
        <x:f>'원본58건'!J49</x:f>
        <x:v>1</x:v>
      </x:c>
      <x:c r="D62" s="21" t="str">
        <x:f>'원본58건'!K49</x:f>
        <x:v>0</x:v>
      </x:c>
      <x:c r="E62" s="21" t="str">
        <x:f>C62&amp;"→"&amp;D62</x:f>
        <x:v>1→0</x:v>
      </x:c>
      <x:c r="F62" s="21" t="str">
        <x:f>'원본58건'!C49</x:f>
        <x:v>1</x:v>
      </x:c>
      <x:c r="G62" s="21" t="str">
        <x:f>'원본58건'!M49</x:f>
        <x:v>1</x:v>
      </x:c>
      <x:c r="H62" s="21" t="str">
        <x:f>F62&amp;"→"&amp;G62</x:f>
        <x:v>1→1</x:v>
      </x:c>
      <x:c r="I62" s="21" t="str">
        <x:f>'원본58건'!E49</x:f>
        <x:v>0</x:v>
      </x:c>
      <x:c r="J62" s="21" t="str">
        <x:f>'원본58건'!G49</x:f>
        <x:v>0</x:v>
      </x:c>
      <x:c r="K62" s="21" t="str">
        <x:f>I62&amp;"→"&amp;J62</x:f>
        <x:v>0→0</x:v>
      </x:c>
      <x:c r="L62" s="21" t="str">
        <x:f>'원본58건'!F49</x:f>
        <x:v>0</x:v>
      </x:c>
      <x:c r="M62" s="21" t="str">
        <x:f>'원본58건'!H49</x:f>
        <x:v>0</x:v>
      </x:c>
      <x:c r="N62" s="21" t="str">
        <x:f>L62&amp;"→"&amp;M62</x:f>
        <x:v>0→0</x:v>
      </x:c>
      <x:c r="O62" s="21" t="str">
        <x:f>'원본58건'!N49</x:f>
        <x:v>1</x:v>
      </x:c>
      <x:c r="P62" s="21" t="str">
        <x:f>'원본58건'!M49</x:f>
        <x:v>1</x:v>
      </x:c>
      <x:c r="Q62" s="21" t="str">
        <x:f>O62&amp;"→"&amp;P62</x:f>
        <x:v>1→1</x:v>
      </x:c>
      <x:c r="R62" s="21" t="str">
        <x:f>'원본58건'!G49</x:f>
        <x:v>0</x:v>
      </x:c>
      <x:c r="S62" s="21" t="str">
        <x:f>'원본58건'!I49</x:f>
        <x:v>1</x:v>
      </x:c>
      <x:c r="T62" s="21" t="str">
        <x:f>R62&amp;"→"&amp;S62</x:f>
        <x:v>0→1</x:v>
      </x:c>
    </x:row>
    <x:row r="63">
      <x:c r="A63" t="n">
        <x:f>ROW()-14</x:f>
        <x:v>49</x:v>
      </x:c>
      <x:c r="B63" t="str">
        <x:f>'원본58건'!A50</x:f>
        <x:v>1.2.826.0.1.3680043.8.498.73926443729786165628848843707532839995</x:v>
      </x:c>
      <x:c r="C63" s="21" t="str">
        <x:f>'원본58건'!J50</x:f>
        <x:v>1</x:v>
      </x:c>
      <x:c r="D63" s="21" t="str">
        <x:f>'원본58건'!K50</x:f>
        <x:v>1</x:v>
      </x:c>
      <x:c r="E63" s="21" t="str">
        <x:f>C63&amp;"→"&amp;D63</x:f>
        <x:v>1→1</x:v>
      </x:c>
      <x:c r="F63" s="21" t="str">
        <x:f>'원본58건'!C50</x:f>
        <x:v>0</x:v>
      </x:c>
      <x:c r="G63" s="21" t="str">
        <x:f>'원본58건'!M50</x:f>
        <x:v>0</x:v>
      </x:c>
      <x:c r="H63" s="21" t="str">
        <x:f>F63&amp;"→"&amp;G63</x:f>
        <x:v>0→0</x:v>
      </x:c>
      <x:c r="I63" s="21" t="str">
        <x:f>'원본58건'!E50</x:f>
        <x:v>1</x:v>
      </x:c>
      <x:c r="J63" s="21" t="str">
        <x:f>'원본58건'!G50</x:f>
        <x:v>0</x:v>
      </x:c>
      <x:c r="K63" s="21" t="str">
        <x:f>I63&amp;"→"&amp;J63</x:f>
        <x:v>1→0</x:v>
      </x:c>
      <x:c r="L63" s="21" t="str">
        <x:f>'원본58건'!F50</x:f>
        <x:v>0</x:v>
      </x:c>
      <x:c r="M63" s="21" t="str">
        <x:f>'원본58건'!H50</x:f>
        <x:v>0</x:v>
      </x:c>
      <x:c r="N63" s="21" t="str">
        <x:f>L63&amp;"→"&amp;M63</x:f>
        <x:v>0→0</x:v>
      </x:c>
      <x:c r="O63" s="21" t="str">
        <x:f>'원본58건'!N50</x:f>
        <x:v>0</x:v>
      </x:c>
      <x:c r="P63" s="21" t="str">
        <x:f>'원본58건'!M50</x:f>
        <x:v>0</x:v>
      </x:c>
      <x:c r="Q63" s="21" t="str">
        <x:f>O63&amp;"→"&amp;P63</x:f>
        <x:v>0→0</x:v>
      </x:c>
      <x:c r="R63" s="21" t="str">
        <x:f>'원본58건'!G50</x:f>
        <x:v>0</x:v>
      </x:c>
      <x:c r="S63" s="21" t="str">
        <x:f>'원본58건'!I50</x:f>
        <x:v>1</x:v>
      </x:c>
      <x:c r="T63" s="21" t="str">
        <x:f>R63&amp;"→"&amp;S63</x:f>
        <x:v>0→1</x:v>
      </x:c>
    </x:row>
    <x:row r="64">
      <x:c r="A64" t="n">
        <x:f>ROW()-14</x:f>
        <x:v>50</x:v>
      </x:c>
      <x:c r="B64" t="str">
        <x:f>'원본58건'!A51</x:f>
        <x:v>1.2.826.0.1.3680043.8.498.75187434248356774277526985329346125190</x:v>
      </x:c>
      <x:c r="C64" s="21" t="str">
        <x:f>'원본58건'!J51</x:f>
        <x:v>1</x:v>
      </x:c>
      <x:c r="D64" s="21" t="str">
        <x:f>'원본58건'!K51</x:f>
        <x:v>0</x:v>
      </x:c>
      <x:c r="E64" s="21" t="str">
        <x:f>C64&amp;"→"&amp;D64</x:f>
        <x:v>1→0</x:v>
      </x:c>
      <x:c r="F64" s="21" t="str">
        <x:f>'원본58건'!C51</x:f>
        <x:v>1</x:v>
      </x:c>
      <x:c r="G64" s="21" t="str">
        <x:f>'원본58건'!M51</x:f>
        <x:v>1</x:v>
      </x:c>
      <x:c r="H64" s="21" t="str">
        <x:f>F64&amp;"→"&amp;G64</x:f>
        <x:v>1→1</x:v>
      </x:c>
      <x:c r="I64" s="21" t="str">
        <x:f>'원본58건'!E51</x:f>
        <x:v>1</x:v>
      </x:c>
      <x:c r="J64" s="21" t="str">
        <x:f>'원본58건'!G51</x:f>
        <x:v>0</x:v>
      </x:c>
      <x:c r="K64" s="21" t="str">
        <x:f>I64&amp;"→"&amp;J64</x:f>
        <x:v>1→0</x:v>
      </x:c>
      <x:c r="L64" s="21" t="str">
        <x:f>'원본58건'!F51</x:f>
        <x:v>0</x:v>
      </x:c>
      <x:c r="M64" s="21" t="str">
        <x:f>'원본58건'!H51</x:f>
        <x:v>0</x:v>
      </x:c>
      <x:c r="N64" s="21" t="str">
        <x:f>L64&amp;"→"&amp;M64</x:f>
        <x:v>0→0</x:v>
      </x:c>
      <x:c r="O64" s="21" t="str">
        <x:f>'원본58건'!N51</x:f>
        <x:v>0</x:v>
      </x:c>
      <x:c r="P64" s="21" t="str">
        <x:f>'원본58건'!M51</x:f>
        <x:v>1</x:v>
      </x:c>
      <x:c r="Q64" s="21" t="str">
        <x:f>O64&amp;"→"&amp;P64</x:f>
        <x:v>0→1</x:v>
      </x:c>
      <x:c r="R64" s="21" t="str">
        <x:f>'원본58건'!G51</x:f>
        <x:v>0</x:v>
      </x:c>
      <x:c r="S64" s="21" t="str">
        <x:f>'원본58건'!I51</x:f>
        <x:v>1</x:v>
      </x:c>
      <x:c r="T64" s="21" t="str">
        <x:f>R64&amp;"→"&amp;S64</x:f>
        <x:v>0→1</x:v>
      </x:c>
    </x:row>
    <x:row r="65">
      <x:c r="A65" t="n">
        <x:f>ROW()-14</x:f>
        <x:v>51</x:v>
      </x:c>
      <x:c r="B65" t="str">
        <x:f>'원본58건'!A52</x:f>
        <x:v>1.2.826.0.1.3680043.8.498.77362718298550276679350855963451855003</x:v>
      </x:c>
      <x:c r="C65" s="21" t="str">
        <x:f>'원본58건'!J52</x:f>
        <x:v>1</x:v>
      </x:c>
      <x:c r="D65" s="21" t="str">
        <x:f>'원본58건'!K52</x:f>
        <x:v>1</x:v>
      </x:c>
      <x:c r="E65" s="21" t="str">
        <x:f>C65&amp;"→"&amp;D65</x:f>
        <x:v>1→1</x:v>
      </x:c>
      <x:c r="F65" s="21" t="str">
        <x:f>'원본58건'!C52</x:f>
        <x:v>0</x:v>
      </x:c>
      <x:c r="G65" s="21" t="str">
        <x:f>'원본58건'!M52</x:f>
        <x:v>1</x:v>
      </x:c>
      <x:c r="H65" s="21" t="str">
        <x:f>F65&amp;"→"&amp;G65</x:f>
        <x:v>0→1</x:v>
      </x:c>
      <x:c r="I65" s="21" t="str">
        <x:f>'원본58건'!E52</x:f>
        <x:v>0</x:v>
      </x:c>
      <x:c r="J65" s="21" t="str">
        <x:f>'원본58건'!G52</x:f>
        <x:v>0</x:v>
      </x:c>
      <x:c r="K65" s="21" t="str">
        <x:f>I65&amp;"→"&amp;J65</x:f>
        <x:v>0→0</x:v>
      </x:c>
      <x:c r="L65" s="21" t="str">
        <x:f>'원본58건'!F52</x:f>
        <x:v>0</x:v>
      </x:c>
      <x:c r="M65" s="21" t="str">
        <x:f>'원본58건'!H52</x:f>
        <x:v>1</x:v>
      </x:c>
      <x:c r="N65" s="21" t="str">
        <x:f>L65&amp;"→"&amp;M65</x:f>
        <x:v>0→1</x:v>
      </x:c>
      <x:c r="O65" s="21" t="str">
        <x:f>'원본58건'!N52</x:f>
        <x:v>0</x:v>
      </x:c>
      <x:c r="P65" s="21" t="str">
        <x:f>'원본58건'!M52</x:f>
        <x:v>1</x:v>
      </x:c>
      <x:c r="Q65" s="21" t="str">
        <x:f>O65&amp;"→"&amp;P65</x:f>
        <x:v>0→1</x:v>
      </x:c>
      <x:c r="R65" s="21" t="str">
        <x:f>'원본58건'!G52</x:f>
        <x:v>0</x:v>
      </x:c>
      <x:c r="S65" s="21" t="str">
        <x:f>'원본58건'!I52</x:f>
        <x:v>0</x:v>
      </x:c>
      <x:c r="T65" s="21" t="str">
        <x:f>R65&amp;"→"&amp;S65</x:f>
        <x:v>0→0</x:v>
      </x:c>
    </x:row>
    <x:row r="66">
      <x:c r="A66" t="n">
        <x:f>ROW()-14</x:f>
        <x:v>52</x:v>
      </x:c>
      <x:c r="B66" t="str">
        <x:f>'원본58건'!A53</x:f>
        <x:v>1.2.826.0.1.3680043.8.498.78512215519177850923279235346968676828</x:v>
      </x:c>
      <x:c r="C66" s="21" t="str">
        <x:f>'원본58건'!J53</x:f>
        <x:v>0</x:v>
      </x:c>
      <x:c r="D66" s="21" t="str">
        <x:f>'원본58건'!K53</x:f>
        <x:v>0</x:v>
      </x:c>
      <x:c r="E66" s="21" t="str">
        <x:f>C66&amp;"→"&amp;D66</x:f>
        <x:v>0→0</x:v>
      </x:c>
      <x:c r="F66" s="21" t="str">
        <x:f>'원본58건'!C53</x:f>
        <x:v>0</x:v>
      </x:c>
      <x:c r="G66" s="21" t="str">
        <x:f>'원본58건'!M53</x:f>
        <x:v>0</x:v>
      </x:c>
      <x:c r="H66" s="21" t="str">
        <x:f>F66&amp;"→"&amp;G66</x:f>
        <x:v>0→0</x:v>
      </x:c>
      <x:c r="I66" s="21" t="str">
        <x:f>'원본58건'!E53</x:f>
        <x:v>1</x:v>
      </x:c>
      <x:c r="J66" s="21" t="str">
        <x:f>'원본58건'!G53</x:f>
        <x:v>1</x:v>
      </x:c>
      <x:c r="K66" s="21" t="str">
        <x:f>I66&amp;"→"&amp;J66</x:f>
        <x:v>1→1</x:v>
      </x:c>
      <x:c r="L66" s="21" t="str">
        <x:f>'원본58건'!F53</x:f>
        <x:v>0</x:v>
      </x:c>
      <x:c r="M66" s="21" t="str">
        <x:f>'원본58건'!H53</x:f>
        <x:v>0</x:v>
      </x:c>
      <x:c r="N66" s="21" t="str">
        <x:f>L66&amp;"→"&amp;M66</x:f>
        <x:v>0→0</x:v>
      </x:c>
      <x:c r="O66" s="21" t="str">
        <x:f>'원본58건'!N53</x:f>
        <x:v>0</x:v>
      </x:c>
      <x:c r="P66" s="21" t="str">
        <x:f>'원본58건'!M53</x:f>
        <x:v>0</x:v>
      </x:c>
      <x:c r="Q66" s="21" t="str">
        <x:f>O66&amp;"→"&amp;P66</x:f>
        <x:v>0→0</x:v>
      </x:c>
      <x:c r="R66" s="21" t="str">
        <x:f>'원본58건'!G53</x:f>
        <x:v>1</x:v>
      </x:c>
      <x:c r="S66" s="21" t="str">
        <x:f>'원본58건'!I53</x:f>
        <x:v>1</x:v>
      </x:c>
      <x:c r="T66" s="21" t="str">
        <x:f>R66&amp;"→"&amp;S66</x:f>
        <x:v>1→1</x:v>
      </x:c>
    </x:row>
    <x:row r="67">
      <x:c r="A67" t="n">
        <x:f>ROW()-14</x:f>
        <x:v>53</x:v>
      </x:c>
      <x:c r="B67" t="str">
        <x:f>'원본58건'!A54</x:f>
        <x:v>1.2.826.0.1.3680043.8.498.82166943552764439138333504456139890254</x:v>
      </x:c>
      <x:c r="C67" s="21" t="str">
        <x:f>'원본58건'!J54</x:f>
        <x:v>1</x:v>
      </x:c>
      <x:c r="D67" s="21" t="str">
        <x:f>'원본58건'!K54</x:f>
        <x:v>0</x:v>
      </x:c>
      <x:c r="E67" s="21" t="str">
        <x:f>C67&amp;"→"&amp;D67</x:f>
        <x:v>1→0</x:v>
      </x:c>
      <x:c r="F67" s="21" t="str">
        <x:f>'원본58건'!C54</x:f>
        <x:v>1</x:v>
      </x:c>
      <x:c r="G67" s="21" t="str">
        <x:f>'원본58건'!M54</x:f>
        <x:v>0</x:v>
      </x:c>
      <x:c r="H67" s="21" t="str">
        <x:f>F67&amp;"→"&amp;G67</x:f>
        <x:v>1→0</x:v>
      </x:c>
      <x:c r="I67" s="21" t="str">
        <x:f>'원본58건'!E54</x:f>
        <x:v>1</x:v>
      </x:c>
      <x:c r="J67" s="21" t="str">
        <x:f>'원본58건'!G54</x:f>
        <x:v>1</x:v>
      </x:c>
      <x:c r="K67" s="21" t="str">
        <x:f>I67&amp;"→"&amp;J67</x:f>
        <x:v>1→1</x:v>
      </x:c>
      <x:c r="L67" s="21" t="str">
        <x:f>'원본58건'!F54</x:f>
        <x:v>1</x:v>
      </x:c>
      <x:c r="M67" s="21" t="str">
        <x:f>'원본58건'!H54</x:f>
        <x:v>0</x:v>
      </x:c>
      <x:c r="N67" s="21" t="str">
        <x:f>L67&amp;"→"&amp;M67</x:f>
        <x:v>1→0</x:v>
      </x:c>
      <x:c r="O67" s="21" t="str">
        <x:f>'원본58건'!N54</x:f>
        <x:v>0</x:v>
      </x:c>
      <x:c r="P67" s="21" t="str">
        <x:f>'원본58건'!M54</x:f>
        <x:v>0</x:v>
      </x:c>
      <x:c r="Q67" s="21" t="str">
        <x:f>O67&amp;"→"&amp;P67</x:f>
        <x:v>0→0</x:v>
      </x:c>
      <x:c r="R67" s="21" t="str">
        <x:f>'원본58건'!G54</x:f>
        <x:v>1</x:v>
      </x:c>
      <x:c r="S67" s="21" t="str">
        <x:f>'원본58건'!I54</x:f>
        <x:v>0</x:v>
      </x:c>
      <x:c r="T67" s="21" t="str">
        <x:f>R67&amp;"→"&amp;S67</x:f>
        <x:v>1→0</x:v>
      </x:c>
    </x:row>
    <x:row r="68">
      <x:c r="A68" t="n">
        <x:f>ROW()-14</x:f>
        <x:v>54</x:v>
      </x:c>
      <x:c r="B68" t="str">
        <x:f>'원본58건'!A55</x:f>
        <x:v>1.2.826.0.1.3680043.8.498.86968600239724310678905311244945464037</x:v>
      </x:c>
      <x:c r="C68" s="21" t="str">
        <x:f>'원본58건'!J55</x:f>
        <x:v>1</x:v>
      </x:c>
      <x:c r="D68" s="21" t="str">
        <x:f>'원본58건'!K55</x:f>
        <x:v>0</x:v>
      </x:c>
      <x:c r="E68" s="21" t="str">
        <x:f>C68&amp;"→"&amp;D68</x:f>
        <x:v>1→0</x:v>
      </x:c>
      <x:c r="F68" s="21" t="str">
        <x:f>'원본58건'!C55</x:f>
        <x:v>1</x:v>
      </x:c>
      <x:c r="G68" s="21" t="str">
        <x:f>'원본58건'!M55</x:f>
        <x:v>0</x:v>
      </x:c>
      <x:c r="H68" s="21" t="str">
        <x:f>F68&amp;"→"&amp;G68</x:f>
        <x:v>1→0</x:v>
      </x:c>
      <x:c r="I68" s="21" t="str">
        <x:f>'원본58건'!E55</x:f>
        <x:v>1</x:v>
      </x:c>
      <x:c r="J68" s="21" t="str">
        <x:f>'원본58건'!G55</x:f>
        <x:v>0</x:v>
      </x:c>
      <x:c r="K68" s="21" t="str">
        <x:f>I68&amp;"→"&amp;J68</x:f>
        <x:v>1→0</x:v>
      </x:c>
      <x:c r="L68" s="21" t="str">
        <x:f>'원본58건'!F55</x:f>
        <x:v>0</x:v>
      </x:c>
      <x:c r="M68" s="21" t="str">
        <x:f>'원본58건'!H55</x:f>
        <x:v>0</x:v>
      </x:c>
      <x:c r="N68" s="21" t="str">
        <x:f>L68&amp;"→"&amp;M68</x:f>
        <x:v>0→0</x:v>
      </x:c>
      <x:c r="O68" s="21" t="str">
        <x:f>'원본58건'!N55</x:f>
        <x:v>0</x:v>
      </x:c>
      <x:c r="P68" s="21" t="str">
        <x:f>'원본58건'!M55</x:f>
        <x:v>0</x:v>
      </x:c>
      <x:c r="Q68" s="21" t="str">
        <x:f>O68&amp;"→"&amp;P68</x:f>
        <x:v>0→0</x:v>
      </x:c>
      <x:c r="R68" s="21" t="str">
        <x:f>'원본58건'!G55</x:f>
        <x:v>0</x:v>
      </x:c>
      <x:c r="S68" s="21" t="str">
        <x:f>'원본58건'!I55</x:f>
        <x:v>0</x:v>
      </x:c>
      <x:c r="T68" s="21" t="str">
        <x:f>R68&amp;"→"&amp;S68</x:f>
        <x:v>0→0</x:v>
      </x:c>
    </x:row>
    <x:row r="69">
      <x:c r="A69" t="n">
        <x:f>ROW()-14</x:f>
        <x:v>55</x:v>
      </x:c>
      <x:c r="B69" t="str">
        <x:f>'원본58건'!A56</x:f>
        <x:v>1.2.826.0.1.3680043.8.498.88077418639301174409926781329613570435</x:v>
      </x:c>
      <x:c r="C69" s="21" t="str">
        <x:f>'원본58건'!J56</x:f>
        <x:v>1</x:v>
      </x:c>
      <x:c r="D69" s="21" t="str">
        <x:f>'원본58건'!K56</x:f>
        <x:v>1</x:v>
      </x:c>
      <x:c r="E69" s="21" t="str">
        <x:f>C69&amp;"→"&amp;D69</x:f>
        <x:v>1→1</x:v>
      </x:c>
      <x:c r="F69" s="21" t="str">
        <x:f>'원본58건'!C56</x:f>
        <x:v>1</x:v>
      </x:c>
      <x:c r="G69" s="21" t="str">
        <x:f>'원본58건'!M56</x:f>
        <x:v>0</x:v>
      </x:c>
      <x:c r="H69" s="21" t="str">
        <x:f>F69&amp;"→"&amp;G69</x:f>
        <x:v>1→0</x:v>
      </x:c>
      <x:c r="I69" s="21" t="str">
        <x:f>'원본58건'!E56</x:f>
        <x:v>1</x:v>
      </x:c>
      <x:c r="J69" s="21" t="str">
        <x:f>'원본58건'!G56</x:f>
        <x:v>1</x:v>
      </x:c>
      <x:c r="K69" s="21" t="str">
        <x:f>I69&amp;"→"&amp;J69</x:f>
        <x:v>1→1</x:v>
      </x:c>
      <x:c r="L69" s="21" t="str">
        <x:f>'원본58건'!F56</x:f>
        <x:v>1</x:v>
      </x:c>
      <x:c r="M69" s="21" t="str">
        <x:f>'원본58건'!H56</x:f>
        <x:v>1</x:v>
      </x:c>
      <x:c r="N69" s="21" t="str">
        <x:f>L69&amp;"→"&amp;M69</x:f>
        <x:v>1→1</x:v>
      </x:c>
      <x:c r="O69" s="21" t="str">
        <x:f>'원본58건'!N56</x:f>
        <x:v>0</x:v>
      </x:c>
      <x:c r="P69" s="21" t="str">
        <x:f>'원본58건'!M56</x:f>
        <x:v>0</x:v>
      </x:c>
      <x:c r="Q69" s="21" t="str">
        <x:f>O69&amp;"→"&amp;P69</x:f>
        <x:v>0→0</x:v>
      </x:c>
      <x:c r="R69" s="21" t="str">
        <x:f>'원본58건'!G56</x:f>
        <x:v>1</x:v>
      </x:c>
      <x:c r="S69" s="21" t="str">
        <x:f>'원본58건'!I56</x:f>
        <x:v>1</x:v>
      </x:c>
      <x:c r="T69" s="21" t="str">
        <x:f>R69&amp;"→"&amp;S69</x:f>
        <x:v>1→1</x:v>
      </x:c>
    </x:row>
    <x:row r="70">
      <x:c r="A70" t="n">
        <x:f>ROW()-14</x:f>
        <x:v>56</x:v>
      </x:c>
      <x:c r="B70" t="str">
        <x:f>'원본58건'!A57</x:f>
        <x:v>1.2.826.0.1.3680043.8.498.90283565381042081768587894596970552767</x:v>
      </x:c>
      <x:c r="C70" s="21" t="str">
        <x:f>'원본58건'!J57</x:f>
        <x:v>1</x:v>
      </x:c>
      <x:c r="D70" s="21" t="str">
        <x:f>'원본58건'!K57</x:f>
        <x:v>1</x:v>
      </x:c>
      <x:c r="E70" s="21" t="str">
        <x:f>C70&amp;"→"&amp;D70</x:f>
        <x:v>1→1</x:v>
      </x:c>
      <x:c r="F70" s="21" t="str">
        <x:f>'원본58건'!C57</x:f>
        <x:v>0</x:v>
      </x:c>
      <x:c r="G70" s="21" t="str">
        <x:f>'원본58건'!M57</x:f>
        <x:v>0</x:v>
      </x:c>
      <x:c r="H70" s="21" t="str">
        <x:f>F70&amp;"→"&amp;G70</x:f>
        <x:v>0→0</x:v>
      </x:c>
      <x:c r="I70" s="21" t="str">
        <x:f>'원본58건'!E57</x:f>
        <x:v>0</x:v>
      </x:c>
      <x:c r="J70" s="21" t="str">
        <x:f>'원본58건'!G57</x:f>
        <x:v>0</x:v>
      </x:c>
      <x:c r="K70" s="21" t="str">
        <x:f>I70&amp;"→"&amp;J70</x:f>
        <x:v>0→0</x:v>
      </x:c>
      <x:c r="L70" s="21" t="str">
        <x:f>'원본58건'!F57</x:f>
        <x:v>0</x:v>
      </x:c>
      <x:c r="M70" s="21" t="str">
        <x:f>'원본58건'!H57</x:f>
        <x:v>0</x:v>
      </x:c>
      <x:c r="N70" s="21" t="str">
        <x:f>L70&amp;"→"&amp;M70</x:f>
        <x:v>0→0</x:v>
      </x:c>
      <x:c r="O70" s="21" t="str">
        <x:f>'원본58건'!N57</x:f>
        <x:v>0</x:v>
      </x:c>
      <x:c r="P70" s="21" t="str">
        <x:f>'원본58건'!M57</x:f>
        <x:v>0</x:v>
      </x:c>
      <x:c r="Q70" s="21" t="str">
        <x:f>O70&amp;"→"&amp;P70</x:f>
        <x:v>0→0</x:v>
      </x:c>
      <x:c r="R70" s="21" t="str">
        <x:f>'원본58건'!G57</x:f>
        <x:v>0</x:v>
      </x:c>
      <x:c r="S70" s="21" t="str">
        <x:f>'원본58건'!I57</x:f>
        <x:v>1</x:v>
      </x:c>
      <x:c r="T70" s="21" t="str">
        <x:f>R70&amp;"→"&amp;S70</x:f>
        <x:v>0→1</x:v>
      </x:c>
    </x:row>
    <x:row r="71">
      <x:c r="A71" t="n">
        <x:f>ROW()-14</x:f>
        <x:v>57</x:v>
      </x:c>
      <x:c r="B71" t="str">
        <x:f>'원본58건'!A58</x:f>
        <x:v>1.2.826.0.1.3680043.8.498.94433753471890306108089557761231739312</x:v>
      </x:c>
      <x:c r="C71" s="21" t="str">
        <x:f>'원본58건'!J58</x:f>
        <x:v>0</x:v>
      </x:c>
      <x:c r="D71" s="21" t="str">
        <x:f>'원본58건'!K58</x:f>
        <x:v>0</x:v>
      </x:c>
      <x:c r="E71" s="21" t="str">
        <x:f>C71&amp;"→"&amp;D71</x:f>
        <x:v>0→0</x:v>
      </x:c>
      <x:c r="F71" s="21" t="str">
        <x:f>'원본58건'!C58</x:f>
        <x:v>0</x:v>
      </x:c>
      <x:c r="G71" s="21" t="str">
        <x:f>'원본58건'!M58</x:f>
        <x:v>0</x:v>
      </x:c>
      <x:c r="H71" s="21" t="str">
        <x:f>F71&amp;"→"&amp;G71</x:f>
        <x:v>0→0</x:v>
      </x:c>
      <x:c r="I71" s="21" t="str">
        <x:f>'원본58건'!E58</x:f>
        <x:v>0</x:v>
      </x:c>
      <x:c r="J71" s="21" t="str">
        <x:f>'원본58건'!G58</x:f>
        <x:v>0</x:v>
      </x:c>
      <x:c r="K71" s="21" t="str">
        <x:f>I71&amp;"→"&amp;J71</x:f>
        <x:v>0→0</x:v>
      </x:c>
      <x:c r="L71" s="21" t="str">
        <x:f>'원본58건'!F58</x:f>
        <x:v>0</x:v>
      </x:c>
      <x:c r="M71" s="21" t="str">
        <x:f>'원본58건'!H58</x:f>
        <x:v>0</x:v>
      </x:c>
      <x:c r="N71" s="21" t="str">
        <x:f>L71&amp;"→"&amp;M71</x:f>
        <x:v>0→0</x:v>
      </x:c>
      <x:c r="O71" s="21" t="str">
        <x:f>'원본58건'!N58</x:f>
        <x:v>0</x:v>
      </x:c>
      <x:c r="P71" s="21" t="str">
        <x:f>'원본58건'!M58</x:f>
        <x:v>0</x:v>
      </x:c>
      <x:c r="Q71" s="21" t="str">
        <x:f>O71&amp;"→"&amp;P71</x:f>
        <x:v>0→0</x:v>
      </x:c>
      <x:c r="R71" s="21" t="str">
        <x:f>'원본58건'!G58</x:f>
        <x:v>0</x:v>
      </x:c>
      <x:c r="S71" s="21" t="str">
        <x:f>'원본58건'!I58</x:f>
        <x:v>0</x:v>
      </x:c>
      <x:c r="T71" s="21" t="str">
        <x:f>R71&amp;"→"&amp;S71</x:f>
        <x:v>0→0</x:v>
      </x:c>
    </x:row>
    <x:row r="72">
      <x:c r="A72" t="n">
        <x:f>ROW()-14</x:f>
        <x:v>58</x:v>
      </x:c>
      <x:c r="B72" t="str">
        <x:f>'원본58건'!A59</x:f>
        <x:v>1.2.826.0.1.3680043.8.498.97274720257634584071500649275217521662</x:v>
      </x:c>
      <x:c r="C72" s="21" t="str">
        <x:f>'원본58건'!J59</x:f>
        <x:v>0</x:v>
      </x:c>
      <x:c r="D72" s="21" t="str">
        <x:f>'원본58건'!K59</x:f>
        <x:v>1</x:v>
      </x:c>
      <x:c r="E72" s="21" t="str">
        <x:f>C72&amp;"→"&amp;D72</x:f>
        <x:v>0→1</x:v>
      </x:c>
      <x:c r="F72" s="21" t="str">
        <x:f>'원본58건'!C59</x:f>
        <x:v>1</x:v>
      </x:c>
      <x:c r="G72" s="21" t="str">
        <x:f>'원본58건'!M59</x:f>
        <x:v>1</x:v>
      </x:c>
      <x:c r="H72" s="21" t="str">
        <x:f>F72&amp;"→"&amp;G72</x:f>
        <x:v>1→1</x:v>
      </x:c>
      <x:c r="I72" s="21" t="str">
        <x:f>'원본58건'!E59</x:f>
        <x:v>1</x:v>
      </x:c>
      <x:c r="J72" s="21" t="str">
        <x:f>'원본58건'!G59</x:f>
        <x:v>0</x:v>
      </x:c>
      <x:c r="K72" s="21" t="str">
        <x:f>I72&amp;"→"&amp;J72</x:f>
        <x:v>1→0</x:v>
      </x:c>
      <x:c r="L72" s="21" t="str">
        <x:f>'원본58건'!F59</x:f>
        <x:v>0</x:v>
      </x:c>
      <x:c r="M72" s="21" t="str">
        <x:f>'원본58건'!H59</x:f>
        <x:v>0</x:v>
      </x:c>
      <x:c r="N72" s="21" t="str">
        <x:f>L72&amp;"→"&amp;M72</x:f>
        <x:v>0→0</x:v>
      </x:c>
      <x:c r="O72" s="21" t="str">
        <x:f>'원본58건'!N59</x:f>
        <x:v>1</x:v>
      </x:c>
      <x:c r="P72" s="21" t="str">
        <x:f>'원본58건'!M59</x:f>
        <x:v>1</x:v>
      </x:c>
      <x:c r="Q72" s="21" t="str">
        <x:f>O72&amp;"→"&amp;P72</x:f>
        <x:v>1→1</x:v>
      </x:c>
      <x:c r="R72" s="21" t="str">
        <x:f>'원본58건'!G59</x:f>
        <x:v>0</x:v>
      </x:c>
      <x:c r="S72" s="21" t="str">
        <x:f>'원본58건'!I59</x:f>
        <x:v>0</x:v>
      </x:c>
      <x:c r="T72" s="21" t="str">
        <x:f>R72&amp;"→"&amp;S72</x:f>
        <x:v>0→0</x:v>
      </x:c>
    </x:row>
  </x:sheetData>
  <x:mergeCells>
    <x:mergeCell ref="A1:T2"/>
    <x:mergeCell ref="G4:J4"/>
    <x:mergeCell ref="A12:T12"/>
    <x:mergeCell ref="C13:E13"/>
    <x:mergeCell ref="F13:H13"/>
    <x:mergeCell ref="I13:K13"/>
    <x:mergeCell ref="L13:N13"/>
    <x:mergeCell ref="O13:Q13"/>
    <x:mergeCell ref="R13:T13"/>
  </x:mergeCells>
  <x:conditionalFormatting sqref="B5:B10">
    <x:cfRule type="dataBar" priority="1">
      <x:dataBar>
        <x:cfvo type="min"/>
        <x:cfvo type="max"/>
        <x:color rgb="FF2E7D32"/>
      </x:dataBar>
      <x:extLst>
        <x:ext xmlns:x14="http://schemas.microsoft.com/office/spreadsheetml/2009/9/main" uri="{B025F937-C7B1-47D3-B67F-A62EFF666E3E}">
          <x14:id>{737A225A-E110-AAD9-21EF-F02BB89FC7A7}</x14:id>
        </x:ext>
      </x:extLst>
    </x:cfRule>
  </x:conditionalFormatting>
  <x:conditionalFormatting sqref="C5:C10">
    <x:cfRule type="dataBar" priority="2">
      <x:dataBar>
        <x:cfvo type="min"/>
        <x:cfvo type="max"/>
        <x:color rgb="FFD97706"/>
      </x:dataBar>
      <x:extLst>
        <x:ext xmlns:x14="http://schemas.microsoft.com/office/spreadsheetml/2009/9/main" uri="{B025F937-C7B1-47D3-B67F-A62EFF666E3E}">
          <x14:id>{F30A8D7C-B738-65F2-9092-73731DDFDCC7}</x14:id>
        </x:ext>
      </x:extLst>
    </x:cfRule>
  </x:conditionalFormatting>
  <x:conditionalFormatting sqref="D5:D10">
    <x:cfRule type="dataBar" priority="3">
      <x:dataBar>
        <x:cfvo type="min"/>
        <x:cfvo type="max"/>
        <x:color rgb="FF2563EB"/>
      </x:dataBar>
      <x:extLst>
        <x:ext xmlns:x14="http://schemas.microsoft.com/office/spreadsheetml/2009/9/main" uri="{B025F937-C7B1-47D3-B67F-A62EFF666E3E}">
          <x14:id>{B6578A07-9CCB-8905-35B5-7F522DA27AE0}</x14:id>
        </x:ext>
      </x:extLst>
    </x:cfRule>
  </x:conditionalFormatting>
  <x:conditionalFormatting sqref="E5:E10">
    <x:cfRule type="dataBar" priority="4">
      <x:dataBar>
        <x:cfvo type="min"/>
        <x:cfvo type="max"/>
        <x:color rgb="FF5B6573"/>
      </x:dataBar>
      <x:extLst>
        <x:ext xmlns:x14="http://schemas.microsoft.com/office/spreadsheetml/2009/9/main" uri="{B025F937-C7B1-47D3-B67F-A62EFF666E3E}">
          <x14:id>{41D67F6F-ED2F-5AC6-A428-79F02F47ED37}</x14:id>
        </x:ext>
      </x:extLst>
    </x:cfRule>
  </x:conditionalFormatting>
  <x:conditionalFormatting sqref="C15:D72">
    <x:cfRule type="cellIs" dxfId="8" priority="5" operator="equal">
      <x:formula>1</x:formula>
    </x:cfRule>
    <x:cfRule type="cellIs" dxfId="9" priority="6" operator="equal">
      <x:formula>0</x:formula>
    </x:cfRule>
  </x:conditionalFormatting>
  <x:conditionalFormatting sqref="F15:G72">
    <x:cfRule type="cellIs" dxfId="10" priority="7" operator="equal">
      <x:formula>1</x:formula>
    </x:cfRule>
    <x:cfRule type="cellIs" dxfId="11" priority="8" operator="equal">
      <x:formula>0</x:formula>
    </x:cfRule>
  </x:conditionalFormatting>
  <x:conditionalFormatting sqref="I15:J72">
    <x:cfRule type="cellIs" dxfId="12" priority="9" operator="equal">
      <x:formula>1</x:formula>
    </x:cfRule>
    <x:cfRule type="cellIs" dxfId="13" priority="10" operator="equal">
      <x:formula>0</x:formula>
    </x:cfRule>
  </x:conditionalFormatting>
  <x:conditionalFormatting sqref="L15:M72">
    <x:cfRule type="cellIs" dxfId="14" priority="11" operator="equal">
      <x:formula>1</x:formula>
    </x:cfRule>
    <x:cfRule type="cellIs" dxfId="15" priority="12" operator="equal">
      <x:formula>0</x:formula>
    </x:cfRule>
  </x:conditionalFormatting>
  <x:conditionalFormatting sqref="O15:P72">
    <x:cfRule type="cellIs" dxfId="16" priority="13" operator="equal">
      <x:formula>1</x:formula>
    </x:cfRule>
    <x:cfRule type="cellIs" dxfId="17" priority="14" operator="equal">
      <x:formula>0</x:formula>
    </x:cfRule>
  </x:conditionalFormatting>
  <x:conditionalFormatting sqref="R15:S72">
    <x:cfRule type="cellIs" dxfId="18" priority="15" operator="equal">
      <x:formula>1</x:formula>
    </x:cfRule>
    <x:cfRule type="cellIs" dxfId="19" priority="16" operator="equal">
      <x:formula>0</x:formula>
    </x:cfRule>
  </x:conditionalFormatting>
  <x:conditionalFormatting sqref="E15:E72">
    <x:cfRule type="containsText" dxfId="20" priority="17" operator="containsText" text="1→1"/>
    <x:cfRule type="containsText" dxfId="21" priority="18" operator="containsText" text="1→0"/>
    <x:cfRule type="containsText" dxfId="22" priority="19" operator="containsText" text="0→1"/>
    <x:cfRule type="containsText" dxfId="23" priority="20" operator="containsText" text="0→0"/>
  </x:conditionalFormatting>
  <x:conditionalFormatting sqref="H15:H72">
    <x:cfRule type="containsText" dxfId="24" priority="21" operator="containsText" text="1→1"/>
    <x:cfRule type="containsText" dxfId="25" priority="22" operator="containsText" text="1→0"/>
    <x:cfRule type="containsText" dxfId="26" priority="23" operator="containsText" text="0→1"/>
    <x:cfRule type="containsText" dxfId="27" priority="24" operator="containsText" text="0→0"/>
  </x:conditionalFormatting>
  <x:conditionalFormatting sqref="K15:K72">
    <x:cfRule type="containsText" dxfId="28" priority="25" operator="containsText" text="1→1"/>
    <x:cfRule type="containsText" dxfId="29" priority="26" operator="containsText" text="1→0"/>
    <x:cfRule type="containsText" dxfId="30" priority="27" operator="containsText" text="0→1"/>
    <x:cfRule type="containsText" dxfId="31" priority="28" operator="containsText" text="0→0"/>
  </x:conditionalFormatting>
  <x:conditionalFormatting sqref="N15:N72">
    <x:cfRule type="containsText" dxfId="32" priority="29" operator="containsText" text="1→1"/>
    <x:cfRule type="containsText" dxfId="33" priority="30" operator="containsText" text="1→0"/>
    <x:cfRule type="containsText" dxfId="34" priority="31" operator="containsText" text="0→1"/>
    <x:cfRule type="containsText" dxfId="35" priority="32" operator="containsText" text="0→0"/>
  </x:conditionalFormatting>
  <x:conditionalFormatting sqref="Q15:Q72">
    <x:cfRule type="containsText" dxfId="36" priority="33" operator="containsText" text="1→1"/>
    <x:cfRule type="containsText" dxfId="37" priority="34" operator="containsText" text="1→0"/>
    <x:cfRule type="containsText" dxfId="38" priority="35" operator="containsText" text="0→1"/>
    <x:cfRule type="containsText" dxfId="39" priority="36" operator="containsText" text="0→0"/>
  </x:conditionalFormatting>
  <x:conditionalFormatting sqref="T15:T72">
    <x:cfRule type="containsText" dxfId="40" priority="37" operator="containsText" text="1→1"/>
    <x:cfRule type="containsText" dxfId="41" priority="38" operator="containsText" text="1→0"/>
    <x:cfRule type="containsText" dxfId="42" priority="39" operator="containsText" text="0→1"/>
    <x:cfRule type="containsText" dxfId="43" priority="40" operator="containsText" text="0→0"/>
  </x:conditionalFormatting>
  <x:pageMargins left="0.7" right="0.7" top="0.75" bottom="0.75" header="0.3" footer="0.3"/>
  <x:tableParts count="2">
    <x:tablePart xmlns:r="http://schemas.openxmlformats.org/officeDocument/2006/relationships" r:id="R124395a422a544ab"/>
    <x:tablePart xmlns:r="http://schemas.openxmlformats.org/officeDocument/2006/relationships" r:id="R060933cdd150446b"/>
  </x:tableParts>
  <x:extLst>
    <x:ext xmlns:x14="http://schemas.microsoft.com/office/spreadsheetml/2009/9/main" xmlns:xm="http://schemas.microsoft.com/office/excel/2006/main" uri="{78C0D931-6437-407d-A8EE-F0AAD7539E65}">
      <x14:conditionalFormattings>
        <x14:conditionalFormatting>
          <x14:cfRule type="dataBar" priority="1" id="{737A225A-E110-AAD9-21EF-F02BB89FC7A7}">
            <x14:dataBar gradient="1">
              <x14:cfvo type="min"/>
              <x14:cfvo type="max"/>
              <x14:fillColor rgb="FF2E7D32"/>
            </x14:dataBar>
          </x14:cfRule>
          <xm:sqref>B5:B10</xm:sqref>
        </x14:conditionalFormatting>
        <x14:conditionalFormatting>
          <x14:cfRule type="dataBar" priority="2" id="{F30A8D7C-B738-65F2-9092-73731DDFDCC7}">
            <x14:dataBar gradient="1">
              <x14:cfvo type="min"/>
              <x14:cfvo type="max"/>
              <x14:fillColor rgb="FFD97706"/>
            </x14:dataBar>
          </x14:cfRule>
          <xm:sqref>C5:C10</xm:sqref>
        </x14:conditionalFormatting>
        <x14:conditionalFormatting>
          <x14:cfRule type="dataBar" priority="3" id="{B6578A07-9CCB-8905-35B5-7F522DA27AE0}">
            <x14:dataBar gradient="1">
              <x14:cfvo type="min"/>
              <x14:cfvo type="max"/>
              <x14:fillColor rgb="FF2563EB"/>
            </x14:dataBar>
          </x14:cfRule>
          <xm:sqref>D5:D10</xm:sqref>
        </x14:conditionalFormatting>
        <x14:conditionalFormatting>
          <x14:cfRule type="dataBar" priority="4" id="{41D67F6F-ED2F-5AC6-A428-79F02F47ED37}">
            <x14:dataBar gradient="1">
              <x14:cfvo type="min"/>
              <x14:cfvo type="max"/>
              <x14:fillColor rgb="FF5B6573"/>
            </x14:dataBar>
          </x14:cfRule>
          <xm:sqref>E5:E10</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x:c r="A1" s="134" t="str">
        <x:v>12개 타깃 방향성 관계행렬 — 위험도 차이</x:v>
      </x:c>
      <x:c r="B1" s="134"/>
      <x:c r="C1" s="134"/>
      <x:c r="D1" s="134"/>
      <x:c r="E1" s="134"/>
      <x:c r="F1" s="134"/>
      <x:c r="G1" s="134"/>
      <x:c r="H1" s="134"/>
      <x:c r="I1" s="134"/>
      <x:c r="J1" s="134"/>
      <x:c r="K1" s="134"/>
      <x:c r="L1" s="134"/>
      <x:c r="M1" s="134"/>
    </x:row>
    <x:row r="3" ht="42" customHeight="1">
      <x:c r="A3" s="140" t="str">
        <x:v>A → B</x:v>
      </x:c>
      <x:c r="B3" s="140" t="str">
        <x:v>ACL</x:v>
      </x:c>
      <x:c r="C3" s="140" t="str">
        <x:v>MCL</x:v>
      </x:c>
      <x:c r="D3" s="140" t="str">
        <x:v>Medial Meniscus</x:v>
      </x:c>
      <x:c r="E3" s="140" t="str">
        <x:v>Lateral Meniscus</x:v>
      </x:c>
      <x:c r="F3" s="140" t="str">
        <x:v>Medial OA</x:v>
      </x:c>
      <x:c r="G3" s="140" t="str">
        <x:v>Lateral OA</x:v>
      </x:c>
      <x:c r="H3" s="140" t="str">
        <x:v>PF OA</x:v>
      </x:c>
      <x:c r="I3" s="140" t="str">
        <x:v>Effusion</x:v>
      </x:c>
      <x:c r="J3" s="140" t="str">
        <x:v>Synovitis</x:v>
      </x:c>
      <x:c r="K3" s="140" t="str">
        <x:v>Baker's</x:v>
      </x:c>
      <x:c r="L3" s="140" t="str">
        <x:v>Contusion</x:v>
      </x:c>
      <x:c r="M3" s="140" t="str">
        <x:v>Fracture</x:v>
      </x:c>
    </x:row>
    <x:row r="4">
      <x:c r="A4" s="128" t="str">
        <x:v>ACL</x:v>
      </x:c>
      <x:c r="B4" s="5" t="str">
        <x:f>IF(B$3=$A4,"",SUMIFS('전체관계'!$K$2:$K$133,'전체관계'!$A$2:$A$133,$A4,'전체관계'!$B$2:$B$133,B$3))</x:f>
      </x:c>
      <x:c r="C4" s="5" t="n">
        <x:f>IF(C$3=$A4,"",SUMIFS('전체관계'!$K$2:$K$133,'전체관계'!$A$2:$A$133,$A4,'전체관계'!$B$2:$B$133,C$3))</x:f>
        <x:v>0.09068627450980393</x:v>
      </x:c>
      <x:c r="D4" s="5" t="n">
        <x:f>IF(D$3=$A4,"",SUMIFS('전체관계'!$K$2:$K$133,'전체관계'!$A$2:$A$133,$A4,'전체관계'!$B$2:$B$133,D$3))</x:f>
        <x:v>0.15931372549019607</x:v>
      </x:c>
      <x:c r="E4" s="5" t="n">
        <x:f>IF(E$3=$A4,"",SUMIFS('전체관계'!$K$2:$K$133,'전체관계'!$A$2:$A$133,$A4,'전체관계'!$B$2:$B$133,E$3))</x:f>
        <x:v>-0.03676470588235292</x:v>
      </x:c>
      <x:c r="F4" s="5" t="n">
        <x:f>IF(F$3=$A4,"",SUMIFS('전체관계'!$K$2:$K$133,'전체관계'!$A$2:$A$133,$A4,'전체관계'!$B$2:$B$133,F$3))</x:f>
        <x:v>-0.22794117647058826</x:v>
      </x:c>
      <x:c r="G4" s="5" t="n">
        <x:f>IF(G$3=$A4,"",SUMIFS('전체관계'!$K$2:$K$133,'전체관계'!$A$2:$A$133,$A4,'전체관계'!$B$2:$B$133,G$3))</x:f>
        <x:v>-0.0392156862745098</x:v>
      </x:c>
      <x:c r="H4" s="5" t="n">
        <x:f>IF(H$3=$A4,"",SUMIFS('전체관계'!$K$2:$K$133,'전체관계'!$A$2:$A$133,$A4,'전체관계'!$B$2:$B$133,H$3))</x:f>
        <x:v>-0.26225490196078427</x:v>
      </x:c>
      <x:c r="I4" s="5" t="n">
        <x:f>IF(I$3=$A4,"",SUMIFS('전체관계'!$K$2:$K$133,'전체관계'!$A$2:$A$133,$A4,'전체관계'!$B$2:$B$133,I$3))</x:f>
        <x:v>0.25</x:v>
      </x:c>
      <x:c r="J4" s="5" t="n">
        <x:f>IF(J$3=$A4,"",SUMIFS('전체관계'!$K$2:$K$133,'전체관계'!$A$2:$A$133,$A4,'전체관계'!$B$2:$B$133,J$3))</x:f>
        <x:v>-0.08333333333333331</x:v>
      </x:c>
      <x:c r="K4" s="5" t="n">
        <x:f>IF(K$3=$A4,"",SUMIFS('전체관계'!$K$2:$K$133,'전체관계'!$A$2:$A$133,$A4,'전체관계'!$B$2:$B$133,K$3))</x:f>
        <x:v>-0.06862745098039216</x:v>
      </x:c>
      <x:c r="L4" s="5" t="n">
        <x:f>IF(L$3=$A4,"",SUMIFS('전체관계'!$K$2:$K$133,'전체관계'!$A$2:$A$133,$A4,'전체관계'!$B$2:$B$133,L$3))</x:f>
        <x:v>0.3651960784313725</x:v>
      </x:c>
      <x:c r="M4" s="5" t="n">
        <x:f>IF(M$3=$A4,"",SUMIFS('전체관계'!$K$2:$K$133,'전체관계'!$A$2:$A$133,$A4,'전체관계'!$B$2:$B$133,M$3))</x:f>
        <x:v>0.25245098039215685</x:v>
      </x:c>
    </x:row>
    <x:row r="5">
      <x:c r="A5" s="128" t="str">
        <x:v>MCL</x:v>
      </x:c>
      <x:c r="B5" s="5" t="n">
        <x:f>IF(B$3=$A5,"",SUMIFS('전체관계'!$K$2:$K$133,'전체관계'!$A$2:$A$133,$A5,'전체관계'!$B$2:$B$133,B$3))</x:f>
        <x:v>0.16780045351473927</x:v>
      </x:c>
      <x:c r="C5" s="5" t="str">
        <x:f>IF(C$3=$A5,"",SUMIFS('전체관계'!$K$2:$K$133,'전체관계'!$A$2:$A$133,$A5,'전체관계'!$B$2:$B$133,C$3))</x:f>
      </x:c>
      <x:c r="D5" s="5" t="n">
        <x:f>IF(D$3=$A5,"",SUMIFS('전체관계'!$K$2:$K$133,'전체관계'!$A$2:$A$133,$A5,'전체관계'!$B$2:$B$133,D$3))</x:f>
        <x:v>-0.2675736961451247</x:v>
      </x:c>
      <x:c r="E5" s="5" t="n">
        <x:f>IF(E$3=$A5,"",SUMIFS('전체관계'!$K$2:$K$133,'전체관계'!$A$2:$A$133,$A5,'전체관계'!$B$2:$B$133,E$3))</x:f>
        <x:v>0.05668934240362811</x:v>
      </x:c>
      <x:c r="F5" s="5" t="n">
        <x:f>IF(F$3=$A5,"",SUMIFS('전체관계'!$K$2:$K$133,'전체관계'!$A$2:$A$133,$A5,'전체관계'!$B$2:$B$133,F$3))</x:f>
        <x:v>-0.30612244897959184</x:v>
      </x:c>
      <x:c r="G5" s="5" t="n">
        <x:f>IF(G$3=$A5,"",SUMIFS('전체관계'!$K$2:$K$133,'전체관계'!$A$2:$A$133,$A5,'전체관계'!$B$2:$B$133,G$3))</x:f>
        <x:v>-0.09297052154195012</x:v>
      </x:c>
      <x:c r="H5" s="5" t="n">
        <x:f>IF(H$3=$A5,"",SUMIFS('전체관계'!$K$2:$K$133,'전체관계'!$A$2:$A$133,$A5,'전체관계'!$B$2:$B$133,H$3))</x:f>
        <x:v>-0.29705215419501135</x:v>
      </x:c>
      <x:c r="I5" s="5" t="n">
        <x:f>IF(I$3=$A5,"",SUMIFS('전체관계'!$K$2:$K$133,'전체관계'!$A$2:$A$133,$A5,'전체관계'!$B$2:$B$133,I$3))</x:f>
        <x:v>-0.05668934240362811</x:v>
      </x:c>
      <x:c r="J5" s="5" t="n">
        <x:f>IF(J$3=$A5,"",SUMIFS('전체관계'!$K$2:$K$133,'전체관계'!$A$2:$A$133,$A5,'전체관계'!$B$2:$B$133,J$3))</x:f>
        <x:v>-0.1564625850340136</x:v>
      </x:c>
      <x:c r="K5" s="5" t="n">
        <x:f>IF(K$3=$A5,"",SUMIFS('전체관계'!$K$2:$K$133,'전체관계'!$A$2:$A$133,$A5,'전체관계'!$B$2:$B$133,K$3))</x:f>
        <x:v>-0.24489795918367346</x:v>
      </x:c>
      <x:c r="L5" s="5" t="n">
        <x:f>IF(L$3=$A5,"",SUMIFS('전체관계'!$K$2:$K$133,'전체관계'!$A$2:$A$133,$A5,'전체관계'!$B$2:$B$133,L$3))</x:f>
        <x:v>0.13832199546485258</x:v>
      </x:c>
      <x:c r="M5" s="5" t="n">
        <x:f>IF(M$3=$A5,"",SUMIFS('전체관계'!$K$2:$K$133,'전체관계'!$A$2:$A$133,$A5,'전체관계'!$B$2:$B$133,M$3))</x:f>
        <x:v>0.15873015873015872</x:v>
      </x:c>
    </x:row>
    <x:row r="6">
      <x:c r="A6" s="128" t="str">
        <x:v>Medial Meniscus</x:v>
      </x:c>
      <x:c r="B6" s="5" t="n">
        <x:f>IF(B$3=$A6,"",SUMIFS('전체관계'!$K$2:$K$133,'전체관계'!$A$2:$A$133,$A6,'전체관계'!$B$2:$B$133,B$3))</x:f>
        <x:v>0.15625</x:v>
      </x:c>
      <x:c r="C6" s="5" t="n">
        <x:f>IF(C$3=$A6,"",SUMIFS('전체관계'!$K$2:$K$133,'전체관계'!$A$2:$A$133,$A6,'전체관계'!$B$2:$B$133,C$3))</x:f>
        <x:v>-0.14182692307692307</x:v>
      </x:c>
      <x:c r="D6" s="5" t="str">
        <x:f>IF(D$3=$A6,"",SUMIFS('전체관계'!$K$2:$K$133,'전체관계'!$A$2:$A$133,$A6,'전체관계'!$B$2:$B$133,D$3))</x:f>
      </x:c>
      <x:c r="E6" s="5" t="n">
        <x:f>IF(E$3=$A6,"",SUMIFS('전체관계'!$K$2:$K$133,'전체관계'!$A$2:$A$133,$A6,'전체관계'!$B$2:$B$133,E$3))</x:f>
        <x:v>0.11778846153846156</x:v>
      </x:c>
      <x:c r="F6" s="5" t="n">
        <x:f>IF(F$3=$A6,"",SUMIFS('전체관계'!$K$2:$K$133,'전체관계'!$A$2:$A$133,$A6,'전체관계'!$B$2:$B$133,F$3))</x:f>
        <x:v>0.36778846153846156</x:v>
      </x:c>
      <x:c r="G6" s="5" t="n">
        <x:f>IF(G$3=$A6,"",SUMIFS('전체관계'!$K$2:$K$133,'전체관계'!$A$2:$A$133,$A6,'전체관계'!$B$2:$B$133,G$3))</x:f>
        <x:v>0.004807692307692318</x:v>
      </x:c>
      <x:c r="H6" s="5" t="n">
        <x:f>IF(H$3=$A6,"",SUMIFS('전체관계'!$K$2:$K$133,'전체관계'!$A$2:$A$133,$A6,'전체관계'!$B$2:$B$133,H$3))</x:f>
        <x:v>0.04086538461538464</x:v>
      </x:c>
      <x:c r="I6" s="5" t="n">
        <x:f>IF(I$3=$A6,"",SUMIFS('전체관계'!$K$2:$K$133,'전체관계'!$A$2:$A$133,$A6,'전체관계'!$B$2:$B$133,I$3))</x:f>
        <x:v>0.23076923076923073</x:v>
      </x:c>
      <x:c r="J6" s="5" t="n">
        <x:f>IF(J$3=$A6,"",SUMIFS('전체관계'!$K$2:$K$133,'전체관계'!$A$2:$A$133,$A6,'전체관계'!$B$2:$B$133,J$3))</x:f>
        <x:v>0.20192307692307687</x:v>
      </x:c>
      <x:c r="K6" s="5" t="n">
        <x:f>IF(K$3=$A6,"",SUMIFS('전체관계'!$K$2:$K$133,'전체관계'!$A$2:$A$133,$A6,'전체관계'!$B$2:$B$133,K$3))</x:f>
        <x:v>0.25240384615384615</x:v>
      </x:c>
      <x:c r="L6" s="5" t="n">
        <x:f>IF(L$3=$A6,"",SUMIFS('전체관계'!$K$2:$K$133,'전체관계'!$A$2:$A$133,$A6,'전체관계'!$B$2:$B$133,L$3))</x:f>
        <x:v>-0.03605769230769229</x:v>
      </x:c>
      <x:c r="M6" s="5" t="n">
        <x:f>IF(M$3=$A6,"",SUMIFS('전체관계'!$K$2:$K$133,'전체관계'!$A$2:$A$133,$A6,'전체관계'!$B$2:$B$133,M$3))</x:f>
        <x:v>0.06490384615384615</x:v>
      </x:c>
    </x:row>
    <x:row r="7">
      <x:c r="A7" s="128" t="str">
        <x:v>Lateral Meniscus</x:v>
      </x:c>
      <x:c r="B7" s="5" t="n">
        <x:f>IF(B$3=$A7,"",SUMIFS('전체관계'!$K$2:$K$133,'전체관계'!$A$2:$A$133,$A7,'전체관계'!$B$2:$B$133,B$3))</x:f>
        <x:v>-0.037267080745341574</x:v>
      </x:c>
      <x:c r="C7" s="5" t="n">
        <x:f>IF(C$3=$A7,"",SUMIFS('전체관계'!$K$2:$K$133,'전체관계'!$A$2:$A$133,$A7,'전체관계'!$B$2:$B$133,C$3))</x:f>
        <x:v>0.031055900621118016</x:v>
      </x:c>
      <x:c r="D7" s="5" t="n">
        <x:f>IF(D$3=$A7,"",SUMIFS('전체관계'!$K$2:$K$133,'전체관계'!$A$2:$A$133,$A7,'전체관계'!$B$2:$B$133,D$3))</x:f>
        <x:v>0.12173913043478257</x:v>
      </x:c>
      <x:c r="E7" s="5" t="str">
        <x:f>IF(E$3=$A7,"",SUMIFS('전체관계'!$K$2:$K$133,'전체관계'!$A$2:$A$133,$A7,'전체관계'!$B$2:$B$133,E$3))</x:f>
      </x:c>
      <x:c r="F7" s="5" t="n">
        <x:f>IF(F$3=$A7,"",SUMIFS('전체관계'!$K$2:$K$133,'전체관계'!$A$2:$A$133,$A7,'전체관계'!$B$2:$B$133,F$3))</x:f>
        <x:v>0.36397515527950314</x:v>
      </x:c>
      <x:c r="G7" s="5" t="n">
        <x:f>IF(G$3=$A7,"",SUMIFS('전체관계'!$K$2:$K$133,'전체관계'!$A$2:$A$133,$A7,'전체관계'!$B$2:$B$133,G$3))</x:f>
        <x:v>0.3341614906832298</x:v>
      </x:c>
      <x:c r="H7" s="5" t="n">
        <x:f>IF(H$3=$A7,"",SUMIFS('전체관계'!$K$2:$K$133,'전체관계'!$A$2:$A$133,$A7,'전체관계'!$B$2:$B$133,H$3))</x:f>
        <x:v>0.12049689440993788</x:v>
      </x:c>
      <x:c r="I7" s="5" t="n">
        <x:f>IF(I$3=$A7,"",SUMIFS('전체관계'!$K$2:$K$133,'전체관계'!$A$2:$A$133,$A7,'전체관계'!$B$2:$B$133,I$3))</x:f>
        <x:v>0.15279503105590064</x:v>
      </x:c>
      <x:c r="J7" s="5" t="n">
        <x:f>IF(J$3=$A7,"",SUMIFS('전체관계'!$K$2:$K$133,'전체관계'!$A$2:$A$133,$A7,'전체관계'!$B$2:$B$133,J$3))</x:f>
        <x:v>0.16521739130434776</x:v>
      </x:c>
      <x:c r="K7" s="5" t="n">
        <x:f>IF(K$3=$A7,"",SUMIFS('전체관계'!$K$2:$K$133,'전체관계'!$A$2:$A$133,$A7,'전체관계'!$B$2:$B$133,K$3))</x:f>
        <x:v>0.23354037267080746</x:v>
      </x:c>
      <x:c r="L7" s="5" t="n">
        <x:f>IF(L$3=$A7,"",SUMIFS('전체관계'!$K$2:$K$133,'전체관계'!$A$2:$A$133,$A7,'전체관계'!$B$2:$B$133,L$3))</x:f>
        <x:v>-0.18260869565217394</x:v>
      </x:c>
      <x:c r="M7" s="5" t="n">
        <x:f>IF(M$3=$A7,"",SUMIFS('전체관계'!$K$2:$K$133,'전체관계'!$A$2:$A$133,$A7,'전체관계'!$B$2:$B$133,M$3))</x:f>
        <x:v>-0.009937888198757738</x:v>
      </x:c>
    </x:row>
    <x:row r="8">
      <x:c r="A8" s="128" t="str">
        <x:v>Medial OA</x:v>
      </x:c>
      <x:c r="B8" s="5" t="n">
        <x:f>IF(B$3=$A8,"",SUMIFS('전체관계'!$K$2:$K$133,'전체관계'!$A$2:$A$133,$A8,'전체관계'!$B$2:$B$133,B$3))</x:f>
        <x:v>-0.2883720930232558</x:v>
      </x:c>
      <x:c r="C8" s="5" t="n">
        <x:f>IF(C$3=$A8,"",SUMIFS('전체관계'!$K$2:$K$133,'전체관계'!$A$2:$A$133,$A8,'전체관계'!$B$2:$B$133,C$3))</x:f>
        <x:v>-0.20930232558139536</x:v>
      </x:c>
      <x:c r="D8" s="5" t="n">
        <x:f>IF(D$3=$A8,"",SUMIFS('전체관계'!$K$2:$K$133,'전체관계'!$A$2:$A$133,$A8,'전체관계'!$B$2:$B$133,D$3))</x:f>
        <x:v>0.4744186046511628</x:v>
      </x:c>
      <x:c r="E8" s="5" t="n">
        <x:f>IF(E$3=$A8,"",SUMIFS('전체관계'!$K$2:$K$133,'전체관계'!$A$2:$A$133,$A8,'전체관계'!$B$2:$B$133,E$3))</x:f>
        <x:v>0.4542635658914728</x:v>
      </x:c>
      <x:c r="F8" s="5" t="str">
        <x:f>IF(F$3=$A8,"",SUMIFS('전체관계'!$K$2:$K$133,'전체관계'!$A$2:$A$133,$A8,'전체관계'!$B$2:$B$133,F$3))</x:f>
      </x:c>
      <x:c r="G8" s="5" t="n">
        <x:f>IF(G$3=$A8,"",SUMIFS('전체관계'!$K$2:$K$133,'전체관계'!$A$2:$A$133,$A8,'전체관계'!$B$2:$B$133,G$3))</x:f>
        <x:v>0.2837209302325582</x:v>
      </x:c>
      <x:c r="H8" s="5" t="n">
        <x:f>IF(H$3=$A8,"",SUMIFS('전체관계'!$K$2:$K$133,'전체관계'!$A$2:$A$133,$A8,'전체관계'!$B$2:$B$133,H$3))</x:f>
        <x:v>0.4108527131782945</x:v>
      </x:c>
      <x:c r="I8" s="5" t="n">
        <x:f>IF(I$3=$A8,"",SUMIFS('전체관계'!$K$2:$K$133,'전체관계'!$A$2:$A$133,$A8,'전체관계'!$B$2:$B$133,I$3))</x:f>
        <x:v>0.0852713178294573</x:v>
      </x:c>
      <x:c r="J8" s="5" t="n">
        <x:f>IF(J$3=$A8,"",SUMIFS('전체관계'!$K$2:$K$133,'전체관계'!$A$2:$A$133,$A8,'전체관계'!$B$2:$B$133,J$3))</x:f>
        <x:v>0.2713178294573643</x:v>
      </x:c>
      <x:c r="K8" s="5" t="n">
        <x:f>IF(K$3=$A8,"",SUMIFS('전체관계'!$K$2:$K$133,'전체관계'!$A$2:$A$133,$A8,'전체관계'!$B$2:$B$133,K$3))</x:f>
        <x:v>0.44031007751937984</x:v>
      </x:c>
      <x:c r="L8" s="5" t="n">
        <x:f>IF(L$3=$A8,"",SUMIFS('전체관계'!$K$2:$K$133,'전체관계'!$A$2:$A$133,$A8,'전체관계'!$B$2:$B$133,L$3))</x:f>
        <x:v>-0.35193798449612407</x:v>
      </x:c>
      <x:c r="M8" s="5" t="n">
        <x:f>IF(M$3=$A8,"",SUMIFS('전체관계'!$K$2:$K$133,'전체관계'!$A$2:$A$133,$A8,'전체관계'!$B$2:$B$133,M$3))</x:f>
        <x:v>-0.23875968992248062</x:v>
      </x:c>
    </x:row>
    <x:row r="9">
      <x:c r="A9" s="128" t="str">
        <x:v>Lateral OA</x:v>
      </x:c>
      <x:c r="B9" s="5" t="n">
        <x:f>IF(B$3=$A9,"",SUMIFS('전체관계'!$K$2:$K$133,'전체관계'!$A$2:$A$133,$A9,'전체관계'!$B$2:$B$133,B$3))</x:f>
        <x:v>-0.06189555125725338</x:v>
      </x:c>
      <x:c r="C9" s="5" t="n">
        <x:f>IF(C$3=$A9,"",SUMIFS('전체관계'!$K$2:$K$133,'전체관계'!$A$2:$A$133,$A9,'전체관계'!$B$2:$B$133,C$3))</x:f>
        <x:v>-0.07930367504835589</x:v>
      </x:c>
      <x:c r="D9" s="5" t="n">
        <x:f>IF(D$3=$A9,"",SUMIFS('전체관계'!$K$2:$K$133,'전체관계'!$A$2:$A$133,$A9,'전체관계'!$B$2:$B$133,D$3))</x:f>
        <x:v>0.007736943907156679</x:v>
      </x:c>
      <x:c r="E9" s="5" t="n">
        <x:f>IF(E$3=$A9,"",SUMIFS('전체관계'!$K$2:$K$133,'전체관계'!$A$2:$A$133,$A9,'전체관계'!$B$2:$B$133,E$3))</x:f>
        <x:v>0.5203094777562863</x:v>
      </x:c>
      <x:c r="F9" s="5" t="n">
        <x:f>IF(F$3=$A9,"",SUMIFS('전체관계'!$K$2:$K$133,'전체관계'!$A$2:$A$133,$A9,'전체관계'!$B$2:$B$133,F$3))</x:f>
        <x:v>0.35396518375241776</x:v>
      </x:c>
      <x:c r="G9" s="5" t="str">
        <x:f>IF(G$3=$A9,"",SUMIFS('전체관계'!$K$2:$K$133,'전체관계'!$A$2:$A$133,$A9,'전체관계'!$B$2:$B$133,G$3))</x:f>
      </x:c>
      <x:c r="H9" s="5" t="n">
        <x:f>IF(H$3=$A9,"",SUMIFS('전체관계'!$K$2:$K$133,'전체관계'!$A$2:$A$133,$A9,'전체관계'!$B$2:$B$133,H$3))</x:f>
        <x:v>0.33849129593810445</x:v>
      </x:c>
      <x:c r="I9" s="5" t="n">
        <x:f>IF(I$3=$A9,"",SUMIFS('전체관계'!$K$2:$K$133,'전체관계'!$A$2:$A$133,$A9,'전체관계'!$B$2:$B$133,I$3))</x:f>
        <x:v>0.2649903288201161</x:v>
      </x:c>
      <x:c r="J9" s="5" t="n">
        <x:f>IF(J$3=$A9,"",SUMIFS('전체관계'!$K$2:$K$133,'전체관계'!$A$2:$A$133,$A9,'전체관계'!$B$2:$B$133,J$3))</x:f>
        <x:v>0.4352030947775629</x:v>
      </x:c>
      <x:c r="K9" s="5" t="n">
        <x:f>IF(K$3=$A9,"",SUMIFS('전체관계'!$K$2:$K$133,'전체관계'!$A$2:$A$133,$A9,'전체관계'!$B$2:$B$133,K$3))</x:f>
        <x:v>0.41779497098646035</x:v>
      </x:c>
      <x:c r="L9" s="5" t="n">
        <x:f>IF(L$3=$A9,"",SUMIFS('전체관계'!$K$2:$K$133,'전체관계'!$A$2:$A$133,$A9,'전체관계'!$B$2:$B$133,L$3))</x:f>
        <x:v>-0.2920696324951644</x:v>
      </x:c>
      <x:c r="M9" s="5" t="n">
        <x:f>IF(M$3=$A9,"",SUMIFS('전체관계'!$K$2:$K$133,'전체관계'!$A$2:$A$133,$A9,'전체관계'!$B$2:$B$133,M$3))</x:f>
        <x:v>-0.15860735009671179</x:v>
      </x:c>
    </x:row>
    <x:row r="10">
      <x:c r="A10" s="128" t="str">
        <x:v>PF OA</x:v>
      </x:c>
      <x:c r="B10" s="5" t="n">
        <x:f>IF(B$3=$A10,"",SUMIFS('전체관계'!$K$2:$K$133,'전체관계'!$A$2:$A$133,$A10,'전체관계'!$B$2:$B$133,B$3))</x:f>
        <x:v>-0.2754182754182754</x:v>
      </x:c>
      <x:c r="C10" s="5" t="n">
        <x:f>IF(C$3=$A10,"",SUMIFS('전체관계'!$K$2:$K$133,'전체관계'!$A$2:$A$133,$A10,'전체관계'!$B$2:$B$133,C$3))</x:f>
        <x:v>-0.1685971685971686</x:v>
      </x:c>
      <x:c r="D10" s="5" t="n">
        <x:f>IF(D$3=$A10,"",SUMIFS('전체관계'!$K$2:$K$133,'전체관계'!$A$2:$A$133,$A10,'전체관계'!$B$2:$B$133,D$3))</x:f>
        <x:v>0.04375804375804371</x:v>
      </x:c>
      <x:c r="E10" s="5" t="n">
        <x:f>IF(E$3=$A10,"",SUMIFS('전체관계'!$K$2:$K$133,'전체관계'!$A$2:$A$133,$A10,'전체관계'!$B$2:$B$133,E$3))</x:f>
        <x:v>0.1248391248391248</x:v>
      </x:c>
      <x:c r="F10" s="5" t="n">
        <x:f>IF(F$3=$A10,"",SUMIFS('전체관계'!$K$2:$K$133,'전체관계'!$A$2:$A$133,$A10,'전체관계'!$B$2:$B$133,F$3))</x:f>
        <x:v>0.341055341055341</x:v>
      </x:c>
      <x:c r="G10" s="5" t="n">
        <x:f>IF(G$3=$A10,"",SUMIFS('전체관계'!$K$2:$K$133,'전체관계'!$A$2:$A$133,$A10,'전체관계'!$B$2:$B$133,G$3))</x:f>
        <x:v>0.2252252252252252</x:v>
      </x:c>
      <x:c r="H10" s="5" t="str">
        <x:f>IF(H$3=$A10,"",SUMIFS('전체관계'!$K$2:$K$133,'전체관계'!$A$2:$A$133,$A10,'전체관계'!$B$2:$B$133,H$3))</x:f>
      </x:c>
      <x:c r="I10" s="5" t="n">
        <x:f>IF(I$3=$A10,"",SUMIFS('전체관계'!$K$2:$K$133,'전체관계'!$A$2:$A$133,$A10,'전체관계'!$B$2:$B$133,I$3))</x:f>
        <x:v>0.09909909909909909</x:v>
      </x:c>
      <x:c r="J10" s="5" t="n">
        <x:f>IF(J$3=$A10,"",SUMIFS('전체관계'!$K$2:$K$133,'전체관계'!$A$2:$A$133,$A10,'전체관계'!$B$2:$B$133,J$3))</x:f>
        <x:v>0.31531531531531526</x:v>
      </x:c>
      <x:c r="K10" s="5" t="n">
        <x:f>IF(K$3=$A10,"",SUMIFS('전체관계'!$K$2:$K$133,'전체관계'!$A$2:$A$133,$A10,'전체관계'!$B$2:$B$133,K$3))</x:f>
        <x:v>0.19819819819819817</x:v>
      </x:c>
      <x:c r="L10" s="5" t="n">
        <x:f>IF(L$3=$A10,"",SUMIFS('전체관계'!$K$2:$K$133,'전체관계'!$A$2:$A$133,$A10,'전체관계'!$B$2:$B$133,L$3))</x:f>
        <x:v>-0.2895752895752896</x:v>
      </x:c>
      <x:c r="M10" s="5" t="n">
        <x:f>IF(M$3=$A10,"",SUMIFS('전체관계'!$K$2:$K$133,'전체관계'!$A$2:$A$133,$A10,'전체관계'!$B$2:$B$133,M$3))</x:f>
        <x:v>-0.18790218790218793</x:v>
      </x:c>
    </x:row>
    <x:row r="11">
      <x:c r="A11" s="128" t="str">
        <x:v>Effusion</x:v>
      </x:c>
      <x:c r="B11" s="5" t="n">
        <x:f>IF(B$3=$A11,"",SUMIFS('전체관계'!$K$2:$K$133,'전체관계'!$A$2:$A$133,$A11,'전체관계'!$B$2:$B$133,B$3))</x:f>
        <x:v>0.25341614906832294</x:v>
      </x:c>
      <x:c r="C11" s="5" t="n">
        <x:f>IF(C$3=$A11,"",SUMIFS('전체관계'!$K$2:$K$133,'전체관계'!$A$2:$A$133,$A11,'전체관계'!$B$2:$B$133,C$3))</x:f>
        <x:v>-0.031055900621118016</x:v>
      </x:c>
      <x:c r="D11" s="5" t="n">
        <x:f>IF(D$3=$A11,"",SUMIFS('전체관계'!$K$2:$K$133,'전체관계'!$A$2:$A$133,$A11,'전체관계'!$B$2:$B$133,D$3))</x:f>
        <x:v>0.23850931677018627</x:v>
      </x:c>
      <x:c r="E11" s="5" t="n">
        <x:f>IF(E$3=$A11,"",SUMIFS('전체관계'!$K$2:$K$133,'전체관계'!$A$2:$A$133,$A11,'전체관계'!$B$2:$B$133,E$3))</x:f>
        <x:v>0.1527950310559006</x:v>
      </x:c>
      <x:c r="F11" s="5" t="n">
        <x:f>IF(F$3=$A11,"",SUMIFS('전체관계'!$K$2:$K$133,'전체관계'!$A$2:$A$133,$A11,'전체관계'!$B$2:$B$133,F$3))</x:f>
        <x:v>0.06832298136645962</x:v>
      </x:c>
      <x:c r="G11" s="5" t="n">
        <x:f>IF(G$3=$A11,"",SUMIFS('전체관계'!$K$2:$K$133,'전체관계'!$A$2:$A$133,$A11,'전체관계'!$B$2:$B$133,G$3))</x:f>
        <x:v>0.17018633540372669</x:v>
      </x:c>
      <x:c r="H11" s="5" t="n">
        <x:f>IF(H$3=$A11,"",SUMIFS('전체관계'!$K$2:$K$133,'전체관계'!$A$2:$A$133,$A11,'전체관계'!$B$2:$B$133,H$3))</x:f>
        <x:v>0.09565217391304348</x:v>
      </x:c>
      <x:c r="I11" s="5" t="str">
        <x:f>IF(I$3=$A11,"",SUMIFS('전체관계'!$K$2:$K$133,'전체관계'!$A$2:$A$133,$A11,'전체관계'!$B$2:$B$133,I$3))</x:f>
      </x:c>
      <x:c r="J11" s="5" t="n">
        <x:f>IF(J$3=$A11,"",SUMIFS('전체관계'!$K$2:$K$133,'전체관계'!$A$2:$A$133,$A11,'전체관계'!$B$2:$B$133,J$3))</x:f>
        <x:v>0.4111801242236025</x:v>
      </x:c>
      <x:c r="K11" s="5" t="n">
        <x:f>IF(K$3=$A11,"",SUMIFS('전체관계'!$K$2:$K$133,'전체관계'!$A$2:$A$133,$A11,'전체관계'!$B$2:$B$133,K$3))</x:f>
        <x:v>0.0546583850931677</x:v>
      </x:c>
      <x:c r="L11" s="5" t="n">
        <x:f>IF(L$3=$A11,"",SUMIFS('전체관계'!$K$2:$K$133,'전체관계'!$A$2:$A$133,$A11,'전체관계'!$B$2:$B$133,L$3))</x:f>
        <x:v>0.11055900621118014</x:v>
      </x:c>
      <x:c r="M11" s="5" t="n">
        <x:f>IF(M$3=$A11,"",SUMIFS('전체관계'!$K$2:$K$133,'전체관계'!$A$2:$A$133,$A11,'전체관계'!$B$2:$B$133,M$3))</x:f>
        <x:v>0.15403726708074536</x:v>
      </x:c>
    </x:row>
    <x:row r="12">
      <x:c r="A12" s="128" t="str">
        <x:v>Synovitis</x:v>
      </x:c>
      <x:c r="B12" s="5" t="n">
        <x:f>IF(B$3=$A12,"",SUMIFS('전체관계'!$K$2:$K$133,'전체관계'!$A$2:$A$133,$A12,'전체관계'!$B$2:$B$133,B$3))</x:f>
        <x:v>-0.08124253285543609</x:v>
      </x:c>
      <x:c r="C12" s="5" t="n">
        <x:f>IF(C$3=$A12,"",SUMIFS('전체관계'!$K$2:$K$133,'전체관계'!$A$2:$A$133,$A12,'전체관계'!$B$2:$B$133,C$3))</x:f>
        <x:v>-0.08243727598566308</x:v>
      </x:c>
      <x:c r="D12" s="5" t="n">
        <x:f>IF(D$3=$A12,"",SUMIFS('전체관계'!$K$2:$K$133,'전체관계'!$A$2:$A$133,$A12,'전체관계'!$B$2:$B$133,D$3))</x:f>
        <x:v>0.2007168458781362</x:v>
      </x:c>
      <x:c r="E12" s="5" t="n">
        <x:f>IF(E$3=$A12,"",SUMIFS('전체관계'!$K$2:$K$133,'전체관계'!$A$2:$A$133,$A12,'전체관계'!$B$2:$B$133,E$3))</x:f>
        <x:v>0.15890083632019114</x:v>
      </x:c>
      <x:c r="F12" s="5" t="n">
        <x:f>IF(F$3=$A12,"",SUMIFS('전체관계'!$K$2:$K$133,'전체관계'!$A$2:$A$133,$A12,'전체관계'!$B$2:$B$133,F$3))</x:f>
        <x:v>0.2090800477897252</x:v>
      </x:c>
      <x:c r="G12" s="5" t="n">
        <x:f>IF(G$3=$A12,"",SUMIFS('전체관계'!$K$2:$K$133,'전체관계'!$A$2:$A$133,$A12,'전체관계'!$B$2:$B$133,G$3))</x:f>
        <x:v>0.26881720430107525</x:v>
      </x:c>
      <x:c r="H12" s="5" t="n">
        <x:f>IF(H$3=$A12,"",SUMIFS('전체관계'!$K$2:$K$133,'전체관계'!$A$2:$A$133,$A12,'전체관계'!$B$2:$B$133,H$3))</x:f>
        <x:v>0.29271206690561524</x:v>
      </x:c>
      <x:c r="I12" s="5" t="n">
        <x:f>IF(I$3=$A12,"",SUMIFS('전체관계'!$K$2:$K$133,'전체관계'!$A$2:$A$133,$A12,'전체관계'!$B$2:$B$133,I$3))</x:f>
        <x:v>0.39545997610513733</x:v>
      </x:c>
      <x:c r="J12" s="5" t="str">
        <x:f>IF(J$3=$A12,"",SUMIFS('전체관계'!$K$2:$K$133,'전체관계'!$A$2:$A$133,$A12,'전체관계'!$B$2:$B$133,J$3))</x:f>
      </x:c>
      <x:c r="K12" s="5" t="n">
        <x:f>IF(K$3=$A12,"",SUMIFS('전체관계'!$K$2:$K$133,'전체관계'!$A$2:$A$133,$A12,'전체관계'!$B$2:$B$133,K$3))</x:f>
        <x:v>0.16726403823178015</x:v>
      </x:c>
      <x:c r="L12" s="5" t="n">
        <x:f>IF(L$3=$A12,"",SUMIFS('전체관계'!$K$2:$K$133,'전체관계'!$A$2:$A$133,$A12,'전체관계'!$B$2:$B$133,L$3))</x:f>
        <x:v>0.08004778972520904</x:v>
      </x:c>
      <x:c r="M12" s="5" t="n">
        <x:f>IF(M$3=$A12,"",SUMIFS('전체관계'!$K$2:$K$133,'전체관계'!$A$2:$A$133,$A12,'전체관계'!$B$2:$B$133,M$3))</x:f>
        <x:v>0.043010752688172005</x:v>
      </x:c>
    </x:row>
    <x:row r="13">
      <x:c r="A13" s="128" t="str">
        <x:v>Baker's</x:v>
      </x:c>
      <x:c r="B13" s="5" t="n">
        <x:f>IF(B$3=$A13,"",SUMIFS('전체관계'!$K$2:$K$133,'전체관계'!$A$2:$A$133,$A13,'전체관계'!$B$2:$B$133,B$3))</x:f>
        <x:v>-0.10144927536231885</x:v>
      </x:c>
      <x:c r="C13" s="5" t="n">
        <x:f>IF(C$3=$A13,"",SUMIFS('전체관계'!$K$2:$K$133,'전체관계'!$A$2:$A$133,$A13,'전체관계'!$B$2:$B$133,C$3))</x:f>
        <x:v>-0.1956521739130435</x:v>
      </x:c>
      <x:c r="D13" s="5" t="n">
        <x:f>IF(D$3=$A13,"",SUMIFS('전체관계'!$K$2:$K$133,'전체관계'!$A$2:$A$133,$A13,'전체관계'!$B$2:$B$133,D$3))</x:f>
        <x:v>0.3804347826086957</x:v>
      </x:c>
      <x:c r="E13" s="5" t="n">
        <x:f>IF(E$3=$A13,"",SUMIFS('전체관계'!$K$2:$K$133,'전체관계'!$A$2:$A$133,$A13,'전체관계'!$B$2:$B$133,E$3))</x:f>
        <x:v>0.3405797101449275</x:v>
      </x:c>
      <x:c r="F13" s="5" t="n">
        <x:f>IF(F$3=$A13,"",SUMIFS('전체관계'!$K$2:$K$133,'전체관계'!$A$2:$A$133,$A13,'전체관계'!$B$2:$B$133,F$3))</x:f>
        <x:v>0.5144927536231884</x:v>
      </x:c>
      <x:c r="G13" s="5" t="n">
        <x:f>IF(G$3=$A13,"",SUMIFS('전체관계'!$K$2:$K$133,'전체관계'!$A$2:$A$133,$A13,'전체관계'!$B$2:$B$133,G$3))</x:f>
        <x:v>0.391304347826087</x:v>
      </x:c>
      <x:c r="H13" s="5" t="n">
        <x:f>IF(H$3=$A13,"",SUMIFS('전체관계'!$K$2:$K$133,'전체관계'!$A$2:$A$133,$A13,'전체관계'!$B$2:$B$133,H$3))</x:f>
        <x:v>0.27898550724637683</x:v>
      </x:c>
      <x:c r="I13" s="5" t="n">
        <x:f>IF(I$3=$A13,"",SUMIFS('전체관계'!$K$2:$K$133,'전체관계'!$A$2:$A$133,$A13,'전체관계'!$B$2:$B$133,I$3))</x:f>
        <x:v>0.07971014492753614</x:v>
      </x:c>
      <x:c r="J13" s="5" t="n">
        <x:f>IF(J$3=$A13,"",SUMIFS('전체관계'!$K$2:$K$133,'전체관계'!$A$2:$A$133,$A13,'전체관계'!$B$2:$B$133,J$3))</x:f>
        <x:v>0.25362318840579706</x:v>
      </x:c>
      <x:c r="K13" s="5" t="str">
        <x:f>IF(K$3=$A13,"",SUMIFS('전체관계'!$K$2:$K$133,'전체관계'!$A$2:$A$133,$A13,'전체관계'!$B$2:$B$133,K$3))</x:f>
      </x:c>
      <x:c r="L13" s="5" t="n">
        <x:f>IF(L$3=$A13,"",SUMIFS('전체관계'!$K$2:$K$133,'전체관계'!$A$2:$A$133,$A13,'전체관계'!$B$2:$B$133,L$3))</x:f>
        <x:v>-0.09782608695652173</x:v>
      </x:c>
      <x:c r="M13" s="5" t="n">
        <x:f>IF(M$3=$A13,"",SUMIFS('전체관계'!$K$2:$K$133,'전체관계'!$A$2:$A$133,$A13,'전체관계'!$B$2:$B$133,M$3))</x:f>
        <x:v>-0.18115942028985507</x:v>
      </x:c>
    </x:row>
    <x:row r="14">
      <x:c r="A14" s="128" t="str">
        <x:v>Contusion</x:v>
      </x:c>
      <x:c r="B14" s="5" t="n">
        <x:f>IF(B$3=$A14,"",SUMIFS('전체관계'!$K$2:$K$133,'전체관계'!$A$2:$A$133,$A14,'전체관계'!$B$2:$B$133,B$3))</x:f>
        <x:v>0.40215924426450744</x:v>
      </x:c>
      <x:c r="C14" s="5" t="n">
        <x:f>IF(C$3=$A14,"",SUMIFS('전체관계'!$K$2:$K$133,'전체관계'!$A$2:$A$133,$A14,'전체관계'!$B$2:$B$133,C$3))</x:f>
        <x:v>0.08232118758434548</x:v>
      </x:c>
      <x:c r="D14" s="5" t="n">
        <x:f>IF(D$3=$A14,"",SUMIFS('전체관계'!$K$2:$K$133,'전체관계'!$A$2:$A$133,$A14,'전체관계'!$B$2:$B$133,D$3))</x:f>
        <x:v>-0.04048582995951422</x:v>
      </x:c>
      <x:c r="E14" s="5" t="n">
        <x:f>IF(E$3=$A14,"",SUMIFS('전체관계'!$K$2:$K$133,'전체관계'!$A$2:$A$133,$A14,'전체관계'!$B$2:$B$133,E$3))</x:f>
        <x:v>-0.19838056680161947</x:v>
      </x:c>
      <x:c r="F14" s="5" t="n">
        <x:f>IF(F$3=$A14,"",SUMIFS('전체관계'!$K$2:$K$133,'전체관계'!$A$2:$A$133,$A14,'전체관계'!$B$2:$B$133,F$3))</x:f>
        <x:v>-0.30634278002699056</x:v>
      </x:c>
      <x:c r="G14" s="5" t="n">
        <x:f>IF(G$3=$A14,"",SUMIFS('전체관계'!$K$2:$K$133,'전체관계'!$A$2:$A$133,$A14,'전체관계'!$B$2:$B$133,G$3))</x:f>
        <x:v>-0.20377867746288797</x:v>
      </x:c>
      <x:c r="H14" s="5" t="n">
        <x:f>IF(H$3=$A14,"",SUMIFS('전체관계'!$K$2:$K$133,'전체관계'!$A$2:$A$133,$A14,'전체관계'!$B$2:$B$133,H$3))</x:f>
        <x:v>-0.3036437246963563</x:v>
      </x:c>
      <x:c r="I14" s="5" t="n">
        <x:f>IF(I$3=$A14,"",SUMIFS('전체관계'!$K$2:$K$133,'전체관계'!$A$2:$A$133,$A14,'전체관계'!$B$2:$B$133,I$3))</x:f>
        <x:v>0.1201079622132254</x:v>
      </x:c>
      <x:c r="J14" s="5" t="n">
        <x:f>IF(J$3=$A14,"",SUMIFS('전체관계'!$K$2:$K$133,'전체관계'!$A$2:$A$133,$A14,'전체관계'!$B$2:$B$133,J$3))</x:f>
        <x:v>0.09041835357624828</x:v>
      </x:c>
      <x:c r="K14" s="5" t="n">
        <x:f>IF(K$3=$A14,"",SUMIFS('전체관계'!$K$2:$K$133,'전체관계'!$A$2:$A$133,$A14,'전체관계'!$B$2:$B$133,K$3))</x:f>
        <x:v>-0.07287449392712553</x:v>
      </x:c>
      <x:c r="L14" s="5" t="str">
        <x:f>IF(L$3=$A14,"",SUMIFS('전체관계'!$K$2:$K$133,'전체관계'!$A$2:$A$133,$A14,'전체관계'!$B$2:$B$133,L$3))</x:f>
      </x:c>
      <x:c r="M14" s="5" t="n">
        <x:f>IF(M$3=$A14,"",SUMIFS('전체관계'!$K$2:$K$133,'전체관계'!$A$2:$A$133,$A14,'전체관계'!$B$2:$B$133,M$3))</x:f>
        <x:v>0.32118758434547906</x:v>
      </x:c>
    </x:row>
    <x:row r="15">
      <x:c r="A15" s="128" t="str">
        <x:v>Fracture</x:v>
      </x:c>
      <x:c r="B15" s="5" t="n">
        <x:f>IF(B$3=$A15,"",SUMIFS('전체관계'!$K$2:$K$133,'전체관계'!$A$2:$A$133,$A15,'전체관계'!$B$2:$B$133,B$3))</x:f>
        <x:v>0.28611111111111115</x:v>
      </x:c>
      <x:c r="C15" s="5" t="n">
        <x:f>IF(C$3=$A15,"",SUMIFS('전체관계'!$K$2:$K$133,'전체관계'!$A$2:$A$133,$A15,'전체관계'!$B$2:$B$133,C$3))</x:f>
        <x:v>0.09722222222222221</x:v>
      </x:c>
      <x:c r="D15" s="5" t="n">
        <x:f>IF(D$3=$A15,"",SUMIFS('전체관계'!$K$2:$K$133,'전체관계'!$A$2:$A$133,$A15,'전체관계'!$B$2:$B$133,D$3))</x:f>
        <x:v>0.07500000000000001</x:v>
      </x:c>
      <x:c r="E15" s="5" t="n">
        <x:f>IF(E$3=$A15,"",SUMIFS('전체관계'!$K$2:$K$133,'전체관계'!$A$2:$A$133,$A15,'전체관계'!$B$2:$B$133,E$3))</x:f>
        <x:v>-0.011111111111111127</x:v>
      </x:c>
      <x:c r="F15" s="5" t="n">
        <x:f>IF(F$3=$A15,"",SUMIFS('전체관계'!$K$2:$K$133,'전체관계'!$A$2:$A$133,$A15,'전체관계'!$B$2:$B$133,F$3))</x:f>
        <x:v>-0.2138888888888889</x:v>
      </x:c>
      <x:c r="G15" s="5" t="n">
        <x:f>IF(G$3=$A15,"",SUMIFS('전체관계'!$K$2:$K$133,'전체관계'!$A$2:$A$133,$A15,'전체관계'!$B$2:$B$133,G$3))</x:f>
        <x:v>-0.1138888888888889</x:v>
      </x:c>
      <x:c r="H15" s="5" t="n">
        <x:f>IF(H$3=$A15,"",SUMIFS('전체관계'!$K$2:$K$133,'전체관계'!$A$2:$A$133,$A15,'전체관계'!$B$2:$B$133,H$3))</x:f>
        <x:v>-0.20277777777777778</x:v>
      </x:c>
      <x:c r="I15" s="5" t="n">
        <x:f>IF(I$3=$A15,"",SUMIFS('전체관계'!$K$2:$K$133,'전체관계'!$A$2:$A$133,$A15,'전체관계'!$B$2:$B$133,I$3))</x:f>
        <x:v>0.17222222222222217</x:v>
      </x:c>
      <x:c r="J15" s="5" t="n">
        <x:f>IF(J$3=$A15,"",SUMIFS('전체관계'!$K$2:$K$133,'전체관계'!$A$2:$A$133,$A15,'전체관계'!$B$2:$B$133,J$3))</x:f>
        <x:v>0.04999999999999999</x:v>
      </x:c>
      <x:c r="K15" s="5" t="n">
        <x:f>IF(K$3=$A15,"",SUMIFS('전체관계'!$K$2:$K$133,'전체관계'!$A$2:$A$133,$A15,'전체관계'!$B$2:$B$133,K$3))</x:f>
        <x:v>-0.1388888888888889</x:v>
      </x:c>
      <x:c r="L15" s="5" t="n">
        <x:f>IF(L$3=$A15,"",SUMIFS('전체관계'!$K$2:$K$133,'전체관계'!$A$2:$A$133,$A15,'전체관계'!$B$2:$B$133,L$3))</x:f>
        <x:v>0.3305555555555556</x:v>
      </x:c>
      <x:c r="M15" s="5" t="str">
        <x:f>IF(M$3=$A15,"",SUMIFS('전체관계'!$K$2:$K$133,'전체관계'!$A$2:$A$133,$A15,'전체관계'!$B$2:$B$133,M$3))</x:f>
      </x:c>
    </x:row>
    <x:row r="18">
      <x:c r="A18" s="136" t="str">
        <x:v>동일 타깃 쌍의 BH 보정 q-value</x:v>
      </x:c>
      <x:c r="B18" s="136"/>
      <x:c r="C18" s="136"/>
      <x:c r="D18" s="136"/>
      <x:c r="E18" s="136"/>
      <x:c r="F18" s="136"/>
      <x:c r="G18" s="136"/>
      <x:c r="H18" s="136"/>
      <x:c r="I18" s="136"/>
      <x:c r="J18" s="136"/>
      <x:c r="K18" s="136"/>
      <x:c r="L18" s="136"/>
      <x:c r="M18" s="136"/>
    </x:row>
    <x:row r="20" ht="42" customHeight="1">
      <x:c r="A20" s="140" t="str">
        <x:v>A → B</x:v>
      </x:c>
      <x:c r="B20" s="140" t="str">
        <x:v>ACL</x:v>
      </x:c>
      <x:c r="C20" s="140" t="str">
        <x:v>MCL</x:v>
      </x:c>
      <x:c r="D20" s="140" t="str">
        <x:v>Medial Meniscus</x:v>
      </x:c>
      <x:c r="E20" s="140" t="str">
        <x:v>Lateral Meniscus</x:v>
      </x:c>
      <x:c r="F20" s="140" t="str">
        <x:v>Medial OA</x:v>
      </x:c>
      <x:c r="G20" s="140" t="str">
        <x:v>Lateral OA</x:v>
      </x:c>
      <x:c r="H20" s="140" t="str">
        <x:v>PF OA</x:v>
      </x:c>
      <x:c r="I20" s="140" t="str">
        <x:v>Effusion</x:v>
      </x:c>
      <x:c r="J20" s="140" t="str">
        <x:v>Synovitis</x:v>
      </x:c>
      <x:c r="K20" s="140" t="str">
        <x:v>Baker's</x:v>
      </x:c>
      <x:c r="L20" s="140" t="str">
        <x:v>Contusion</x:v>
      </x:c>
      <x:c r="M20" s="140" t="str">
        <x:v>Fracture</x:v>
      </x:c>
    </x:row>
    <x:row r="21">
      <x:c r="A21" s="128" t="str">
        <x:v>ACL</x:v>
      </x:c>
      <x:c r="B21" s="141" t="str">
        <x:f>IF(B$20=$A21,"",SUMIFS('전체관계'!$Q$2:$Q$133,'전체관계'!$A$2:$A$133,$A21,'전체관계'!$B$2:$B$133,B$20))</x:f>
      </x:c>
      <x:c r="C21" s="141" t="n">
        <x:f>IF(C$20=$A21,"",SUMIFS('전체관계'!$Q$2:$Q$133,'전체관계'!$A$2:$A$133,$A21,'전체관계'!$B$2:$B$133,C$20))</x:f>
        <x:v>0.6619764589053057</x:v>
      </x:c>
      <x:c r="D21" s="141" t="n">
        <x:f>IF(D$20=$A21,"",SUMIFS('전체관계'!$Q$2:$Q$133,'전체관계'!$A$2:$A$133,$A21,'전체관계'!$B$2:$B$133,D$20))</x:f>
        <x:v>0.4874185140876647</x:v>
      </x:c>
      <x:c r="E21" s="141" t="n">
        <x:f>IF(E$20=$A21,"",SUMIFS('전체관계'!$Q$2:$Q$133,'전체관계'!$A$2:$A$133,$A21,'전체관계'!$B$2:$B$133,E$20))</x:f>
        <x:v>0.9999999999999974</x:v>
      </x:c>
      <x:c r="F21" s="141" t="n">
        <x:f>IF(F$20=$A21,"",SUMIFS('전체관계'!$Q$2:$Q$133,'전체관계'!$A$2:$A$133,$A21,'전체관계'!$B$2:$B$133,F$20))</x:f>
        <x:v>0.2307464566675602</x:v>
      </x:c>
      <x:c r="G21" s="141" t="n">
        <x:f>IF(G$20=$A21,"",SUMIFS('전체관계'!$Q$2:$Q$133,'전체관계'!$A$2:$A$133,$A21,'전체관계'!$B$2:$B$133,G$20))</x:f>
        <x:v>0.9999999999999974</x:v>
      </x:c>
      <x:c r="H21" s="141" t="n">
        <x:f>IF(H$20=$A21,"",SUMIFS('전체관계'!$Q$2:$Q$133,'전체관계'!$A$2:$A$133,$A21,'전체관계'!$B$2:$B$133,H$20))</x:f>
        <x:v>0.19891014866082105</x:v>
      </x:c>
      <x:c r="I21" s="141" t="n">
        <x:f>IF(I$20=$A21,"",SUMIFS('전체관계'!$Q$2:$Q$133,'전체관계'!$A$2:$A$133,$A21,'전체관계'!$B$2:$B$133,I$20))</x:f>
        <x:v>0.22172376308988118</x:v>
      </x:c>
      <x:c r="J21" s="141" t="n">
        <x:f>IF(J$20=$A21,"",SUMIFS('전체관계'!$Q$2:$Q$133,'전체관계'!$A$2:$A$133,$A21,'전체관계'!$B$2:$B$133,J$20))</x:f>
        <x:v>0.7755182592392542</x:v>
      </x:c>
      <x:c r="K21" s="141" t="n">
        <x:f>IF(K$20=$A21,"",SUMIFS('전체관계'!$Q$2:$Q$133,'전체관계'!$A$2:$A$133,$A21,'전체관계'!$B$2:$B$133,K$20))</x:f>
        <x:v>0.8977588079187233</x:v>
      </x:c>
      <x:c r="L21" s="141" t="n">
        <x:f>IF(L$20=$A21,"",SUMIFS('전체관계'!$Q$2:$Q$133,'전체관계'!$A$2:$A$133,$A21,'전체관계'!$B$2:$B$133,L$20))</x:f>
        <x:v>0.05419089721682214</x:v>
      </x:c>
      <x:c r="M21" s="141" t="n">
        <x:f>IF(M$20=$A21,"",SUMIFS('전체관계'!$Q$2:$Q$133,'전체관계'!$A$2:$A$133,$A21,'전체관계'!$B$2:$B$133,M$20))</x:f>
        <x:v>0.1922477805238194</x:v>
      </x:c>
    </x:row>
    <x:row r="22">
      <x:c r="A22" s="128" t="str">
        <x:v>MCL</x:v>
      </x:c>
      <x:c r="B22" s="141" t="n">
        <x:f>IF(B$20=$A22,"",SUMIFS('전체관계'!$Q$2:$Q$133,'전체관계'!$A$2:$A$133,$A22,'전체관계'!$B$2:$B$133,B$20))</x:f>
        <x:v>0.6619764589053057</x:v>
      </x:c>
      <x:c r="C22" s="141" t="str">
        <x:f>IF(C$20=$A22,"",SUMIFS('전체관계'!$Q$2:$Q$133,'전체관계'!$A$2:$A$133,$A22,'전체관계'!$B$2:$B$133,C$20))</x:f>
      </x:c>
      <x:c r="D22" s="141" t="n">
        <x:f>IF(D$20=$A22,"",SUMIFS('전체관계'!$Q$2:$Q$133,'전체관계'!$A$2:$A$133,$A22,'전체관계'!$B$2:$B$133,D$20))</x:f>
        <x:v>0.35396477570044904</x:v>
      </x:c>
      <x:c r="E22" s="141" t="n">
        <x:f>IF(E$20=$A22,"",SUMIFS('전체관계'!$Q$2:$Q$133,'전체관계'!$A$2:$A$133,$A22,'전체관계'!$B$2:$B$133,E$20))</x:f>
        <x:v>0.9999999999999974</x:v>
      </x:c>
      <x:c r="F22" s="141" t="n">
        <x:f>IF(F$20=$A22,"",SUMIFS('전체관계'!$Q$2:$Q$133,'전체관계'!$A$2:$A$133,$A22,'전체관계'!$B$2:$B$133,F$20))</x:f>
        <x:v>0.2559642905040719</x:v>
      </x:c>
      <x:c r="G22" s="141" t="n">
        <x:f>IF(G$20=$A22,"",SUMIFS('전체관계'!$Q$2:$Q$133,'전체관계'!$A$2:$A$133,$A22,'전체관계'!$B$2:$B$133,G$20))</x:f>
        <x:v>0.9999999999999974</x:v>
      </x:c>
      <x:c r="H22" s="141" t="n">
        <x:f>IF(H$20=$A22,"",SUMIFS('전체관계'!$Q$2:$Q$133,'전체관계'!$A$2:$A$133,$A22,'전체관계'!$B$2:$B$133,H$20))</x:f>
        <x:v>0.3192039204161224</x:v>
      </x:c>
      <x:c r="I22" s="141" t="n">
        <x:f>IF(I$20=$A22,"",SUMIFS('전체관계'!$Q$2:$Q$133,'전체관계'!$A$2:$A$133,$A22,'전체관계'!$B$2:$B$133,I$20))</x:f>
        <x:v>0.9999999999999974</x:v>
      </x:c>
      <x:c r="J22" s="141" t="n">
        <x:f>IF(J$20=$A22,"",SUMIFS('전체관계'!$Q$2:$Q$133,'전체관계'!$A$2:$A$133,$A22,'전체관계'!$B$2:$B$133,J$20))</x:f>
        <x:v>0.6619764589053057</x:v>
      </x:c>
      <x:c r="K22" s="141" t="n">
        <x:f>IF(K$20=$A22,"",SUMIFS('전체관계'!$Q$2:$Q$133,'전체관계'!$A$2:$A$133,$A22,'전체관계'!$B$2:$B$133,K$20))</x:f>
        <x:v>0.3609641798947792</x:v>
      </x:c>
      <x:c r="L22" s="141" t="n">
        <x:f>IF(L$20=$A22,"",SUMIFS('전체관계'!$Q$2:$Q$133,'전체관계'!$A$2:$A$133,$A22,'전체관계'!$B$2:$B$133,L$20))</x:f>
        <x:v>0.6619764589053057</x:v>
      </x:c>
      <x:c r="M22" s="141" t="n">
        <x:f>IF(M$20=$A22,"",SUMIFS('전체관계'!$Q$2:$Q$133,'전체관계'!$A$2:$A$133,$A22,'전체관계'!$B$2:$B$133,M$20))</x:f>
        <x:v>0.6570118885668618</x:v>
      </x:c>
    </x:row>
    <x:row r="23">
      <x:c r="A23" s="128" t="str">
        <x:v>Medial Meniscus</x:v>
      </x:c>
      <x:c r="B23" s="141" t="n">
        <x:f>IF(B$20=$A23,"",SUMIFS('전체관계'!$Q$2:$Q$133,'전체관계'!$A$2:$A$133,$A23,'전체관계'!$B$2:$B$133,B$20))</x:f>
        <x:v>0.4874185140876647</x:v>
      </x:c>
      <x:c r="C23" s="141" t="n">
        <x:f>IF(C$20=$A23,"",SUMIFS('전체관계'!$Q$2:$Q$133,'전체관계'!$A$2:$A$133,$A23,'전체관계'!$B$2:$B$133,C$20))</x:f>
        <x:v>0.35396477570044904</x:v>
      </x:c>
      <x:c r="D23" s="141" t="str">
        <x:f>IF(D$20=$A23,"",SUMIFS('전체관계'!$Q$2:$Q$133,'전체관계'!$A$2:$A$133,$A23,'전체관계'!$B$2:$B$133,D$20))</x:f>
      </x:c>
      <x:c r="E23" s="141" t="n">
        <x:f>IF(E$20=$A23,"",SUMIFS('전체관계'!$Q$2:$Q$133,'전체관계'!$A$2:$A$133,$A23,'전체관계'!$B$2:$B$133,E$20))</x:f>
        <x:v>0.6517784124918821</x:v>
      </x:c>
      <x:c r="F23" s="141" t="n">
        <x:f>IF(F$20=$A23,"",SUMIFS('전체관계'!$Q$2:$Q$133,'전체관계'!$A$2:$A$133,$A23,'전체관계'!$B$2:$B$133,F$20))</x:f>
        <x:v>0.05419089721682214</x:v>
      </x:c>
      <x:c r="G23" s="141" t="n">
        <x:f>IF(G$20=$A23,"",SUMIFS('전체관계'!$Q$2:$Q$133,'전체관계'!$A$2:$A$133,$A23,'전체관계'!$B$2:$B$133,G$20))</x:f>
        <x:v>0.9999999999999974</x:v>
      </x:c>
      <x:c r="H23" s="141" t="n">
        <x:f>IF(H$20=$A23,"",SUMIFS('전체관계'!$Q$2:$Q$133,'전체관계'!$A$2:$A$133,$A23,'전체관계'!$B$2:$B$133,H$20))</x:f>
        <x:v>0.8977588079187233</x:v>
      </x:c>
      <x:c r="I23" s="141" t="n">
        <x:f>IF(I$20=$A23,"",SUMIFS('전체관계'!$Q$2:$Q$133,'전체관계'!$A$2:$A$133,$A23,'전체관계'!$B$2:$B$133,I$20))</x:f>
        <x:v>0.2699297852346834</x:v>
      </x:c>
      <x:c r="J23" s="141" t="n">
        <x:f>IF(J$20=$A23,"",SUMIFS('전체관계'!$Q$2:$Q$133,'전체관계'!$A$2:$A$133,$A23,'전체관계'!$B$2:$B$133,J$20))</x:f>
        <x:v>0.3609641798947792</x:v>
      </x:c>
      <x:c r="K23" s="141" t="n">
        <x:f>IF(K$20=$A23,"",SUMIFS('전체관계'!$Q$2:$Q$133,'전체관계'!$A$2:$A$133,$A23,'전체관계'!$B$2:$B$133,K$20))</x:f>
        <x:v>0.12700565537260383</x:v>
      </x:c>
      <x:c r="L23" s="141" t="n">
        <x:f>IF(L$20=$A23,"",SUMIFS('전체관계'!$Q$2:$Q$133,'전체관계'!$A$2:$A$133,$A23,'전체관계'!$B$2:$B$133,L$20))</x:f>
        <x:v>0.9999999999999974</x:v>
      </x:c>
      <x:c r="M23" s="141" t="n">
        <x:f>IF(M$20=$A23,"",SUMIFS('전체관계'!$Q$2:$Q$133,'전체관계'!$A$2:$A$133,$A23,'전체관계'!$B$2:$B$133,M$20))</x:f>
        <x:v>0.8977588079187233</x:v>
      </x:c>
    </x:row>
    <x:row r="24">
      <x:c r="A24" s="128" t="str">
        <x:v>Lateral Meniscus</x:v>
      </x:c>
      <x:c r="B24" s="141" t="n">
        <x:f>IF(B$20=$A24,"",SUMIFS('전체관계'!$Q$2:$Q$133,'전체관계'!$A$2:$A$133,$A24,'전체관계'!$B$2:$B$133,B$20))</x:f>
        <x:v>0.9999999999999974</x:v>
      </x:c>
      <x:c r="C24" s="141" t="n">
        <x:f>IF(C$20=$A24,"",SUMIFS('전체관계'!$Q$2:$Q$133,'전체관계'!$A$2:$A$133,$A24,'전체관계'!$B$2:$B$133,C$20))</x:f>
        <x:v>0.9999999999999974</x:v>
      </x:c>
      <x:c r="D24" s="141" t="n">
        <x:f>IF(D$20=$A24,"",SUMIFS('전체관계'!$Q$2:$Q$133,'전체관계'!$A$2:$A$133,$A24,'전체관계'!$B$2:$B$133,D$20))</x:f>
        <x:v>0.6517784124918821</x:v>
      </x:c>
      <x:c r="E24" s="141" t="str">
        <x:f>IF(E$20=$A24,"",SUMIFS('전체관계'!$Q$2:$Q$133,'전체관계'!$A$2:$A$133,$A24,'전체관계'!$B$2:$B$133,E$20))</x:f>
      </x:c>
      <x:c r="F24" s="141" t="n">
        <x:f>IF(F$20=$A24,"",SUMIFS('전체관계'!$Q$2:$Q$133,'전체관계'!$A$2:$A$133,$A24,'전체관계'!$B$2:$B$133,F$20))</x:f>
        <x:v>0.05419089721682214</x:v>
      </x:c>
      <x:c r="G24" s="141" t="n">
        <x:f>IF(G$20=$A24,"",SUMIFS('전체관계'!$Q$2:$Q$133,'전체관계'!$A$2:$A$133,$A24,'전체관계'!$B$2:$B$133,G$20))</x:f>
        <x:v>0.05419089721682214</x:v>
      </x:c>
      <x:c r="H24" s="141" t="n">
        <x:f>IF(H$20=$A24,"",SUMIFS('전체관계'!$Q$2:$Q$133,'전체관계'!$A$2:$A$133,$A24,'전체관계'!$B$2:$B$133,H$20))</x:f>
        <x:v>0.643870930127768</x:v>
      </x:c>
      <x:c r="I24" s="141" t="n">
        <x:f>IF(I$20=$A24,"",SUMIFS('전체관계'!$Q$2:$Q$133,'전체관계'!$A$2:$A$133,$A24,'전체관계'!$B$2:$B$133,I$20))</x:f>
        <x:v>0.4874185140876647</x:v>
      </x:c>
      <x:c r="J24" s="141" t="n">
        <x:f>IF(J$20=$A24,"",SUMIFS('전체관계'!$Q$2:$Q$133,'전체관계'!$A$2:$A$133,$A24,'전체관계'!$B$2:$B$133,J$20))</x:f>
        <x:v>0.4874185140876647</x:v>
      </x:c>
      <x:c r="K24" s="141" t="n">
        <x:f>IF(K$20=$A24,"",SUMIFS('전체관계'!$Q$2:$Q$133,'전체관계'!$A$2:$A$133,$A24,'전체관계'!$B$2:$B$133,K$20))</x:f>
        <x:v>0.1922477805238194</x:v>
      </x:c>
      <x:c r="L24" s="141" t="n">
        <x:f>IF(L$20=$A24,"",SUMIFS('전체관계'!$Q$2:$Q$133,'전체관계'!$A$2:$A$133,$A24,'전체관계'!$B$2:$B$133,L$20))</x:f>
        <x:v>0.35396477570044904</x:v>
      </x:c>
      <x:c r="M24" s="141" t="n">
        <x:f>IF(M$20=$A24,"",SUMIFS('전체관계'!$Q$2:$Q$133,'전체관계'!$A$2:$A$133,$A24,'전체관계'!$B$2:$B$133,M$20))</x:f>
        <x:v>0.9999999999999974</x:v>
      </x:c>
    </x:row>
    <x:row r="25">
      <x:c r="A25" s="128" t="str">
        <x:v>Medial OA</x:v>
      </x:c>
      <x:c r="B25" s="141" t="n">
        <x:f>IF(B$20=$A25,"",SUMIFS('전체관계'!$Q$2:$Q$133,'전체관계'!$A$2:$A$133,$A25,'전체관계'!$B$2:$B$133,B$20))</x:f>
        <x:v>0.2307464566675602</x:v>
      </x:c>
      <x:c r="C25" s="141" t="n">
        <x:f>IF(C$20=$A25,"",SUMIFS('전체관계'!$Q$2:$Q$133,'전체관계'!$A$2:$A$133,$A25,'전체관계'!$B$2:$B$133,C$20))</x:f>
        <x:v>0.2559642905040719</x:v>
      </x:c>
      <x:c r="D25" s="141" t="n">
        <x:f>IF(D$20=$A25,"",SUMIFS('전체관계'!$Q$2:$Q$133,'전체관계'!$A$2:$A$133,$A25,'전체관계'!$B$2:$B$133,D$20))</x:f>
        <x:v>0.05419089721682214</x:v>
      </x:c>
      <x:c r="E25" s="141" t="n">
        <x:f>IF(E$20=$A25,"",SUMIFS('전체관계'!$Q$2:$Q$133,'전체관계'!$A$2:$A$133,$A25,'전체관계'!$B$2:$B$133,E$20))</x:f>
        <x:v>0.05419089721682214</x:v>
      </x:c>
      <x:c r="F25" s="141" t="str">
        <x:f>IF(F$20=$A25,"",SUMIFS('전체관계'!$Q$2:$Q$133,'전체관계'!$A$2:$A$133,$A25,'전체관계'!$B$2:$B$133,F$20))</x:f>
      </x:c>
      <x:c r="G25" s="141" t="n">
        <x:f>IF(G$20=$A25,"",SUMIFS('전체관계'!$Q$2:$Q$133,'전체관계'!$A$2:$A$133,$A25,'전체관계'!$B$2:$B$133,G$20))</x:f>
        <x:v>0.12700565537260383</x:v>
      </x:c>
      <x:c r="H25" s="141" t="n">
        <x:f>IF(H$20=$A25,"",SUMIFS('전체관계'!$Q$2:$Q$133,'전체관계'!$A$2:$A$133,$A25,'전체관계'!$B$2:$B$133,H$20))</x:f>
        <x:v>0.08792190737530421</x:v>
      </x:c>
      <x:c r="I25" s="141" t="n">
        <x:f>IF(I$20=$A25,"",SUMIFS('전체관계'!$Q$2:$Q$133,'전체관계'!$A$2:$A$133,$A25,'전체관계'!$B$2:$B$133,I$20))</x:f>
        <x:v>0.8977588079187233</x:v>
      </x:c>
      <x:c r="J25" s="141" t="n">
        <x:f>IF(J$20=$A25,"",SUMIFS('전체관계'!$Q$2:$Q$133,'전체관계'!$A$2:$A$133,$A25,'전체관계'!$B$2:$B$133,J$20))</x:f>
        <x:v>0.23520086318026903</x:v>
      </x:c>
      <x:c r="K25" s="141" t="n">
        <x:f>IF(K$20=$A25,"",SUMIFS('전체관계'!$Q$2:$Q$133,'전체관계'!$A$2:$A$133,$A25,'전체관계'!$B$2:$B$133,K$20))</x:f>
        <x:v>0.05419089721682214</x:v>
      </x:c>
      <x:c r="L25" s="141" t="n">
        <x:f>IF(L$20=$A25,"",SUMIFS('전체관계'!$Q$2:$Q$133,'전체관계'!$A$2:$A$133,$A25,'전체관계'!$B$2:$B$133,L$20))</x:f>
        <x:v>0.09159854799521921</x:v>
      </x:c>
      <x:c r="M25" s="141" t="n">
        <x:f>IF(M$20=$A25,"",SUMIFS('전체관계'!$Q$2:$Q$133,'전체관계'!$A$2:$A$133,$A25,'전체관계'!$B$2:$B$133,M$20))</x:f>
        <x:v>0.2738646785392582</x:v>
      </x:c>
    </x:row>
    <x:row r="26">
      <x:c r="A26" s="128" t="str">
        <x:v>Lateral OA</x:v>
      </x:c>
      <x:c r="B26" s="141" t="n">
        <x:f>IF(B$20=$A26,"",SUMIFS('전체관계'!$Q$2:$Q$133,'전체관계'!$A$2:$A$133,$A26,'전체관계'!$B$2:$B$133,B$20))</x:f>
        <x:v>0.9999999999999974</x:v>
      </x:c>
      <x:c r="C26" s="141" t="n">
        <x:f>IF(C$20=$A26,"",SUMIFS('전체관계'!$Q$2:$Q$133,'전체관계'!$A$2:$A$133,$A26,'전체관계'!$B$2:$B$133,C$20))</x:f>
        <x:v>0.9999999999999974</x:v>
      </x:c>
      <x:c r="D26" s="141" t="n">
        <x:f>IF(D$20=$A26,"",SUMIFS('전체관계'!$Q$2:$Q$133,'전체관계'!$A$2:$A$133,$A26,'전체관계'!$B$2:$B$133,D$20))</x:f>
        <x:v>0.9999999999999974</x:v>
      </x:c>
      <x:c r="E26" s="141" t="n">
        <x:f>IF(E$20=$A26,"",SUMIFS('전체관계'!$Q$2:$Q$133,'전체관계'!$A$2:$A$133,$A26,'전체관계'!$B$2:$B$133,E$20))</x:f>
        <x:v>0.05419089721682214</x:v>
      </x:c>
      <x:c r="F26" s="141" t="n">
        <x:f>IF(F$20=$A26,"",SUMIFS('전체관계'!$Q$2:$Q$133,'전체관계'!$A$2:$A$133,$A26,'전체관계'!$B$2:$B$133,F$20))</x:f>
        <x:v>0.12700565537260383</x:v>
      </x:c>
      <x:c r="G26" s="141" t="str">
        <x:f>IF(G$20=$A26,"",SUMIFS('전체관계'!$Q$2:$Q$133,'전체관계'!$A$2:$A$133,$A26,'전체관계'!$B$2:$B$133,G$20))</x:f>
      </x:c>
      <x:c r="H26" s="141" t="n">
        <x:f>IF(H$20=$A26,"",SUMIFS('전체관계'!$Q$2:$Q$133,'전체관계'!$A$2:$A$133,$A26,'전체관계'!$B$2:$B$133,H$20))</x:f>
        <x:v>0.23520086318026903</x:v>
      </x:c>
      <x:c r="I26" s="141" t="n">
        <x:f>IF(I$20=$A26,"",SUMIFS('전체관계'!$Q$2:$Q$133,'전체관계'!$A$2:$A$133,$A26,'전체관계'!$B$2:$B$133,I$20))</x:f>
        <x:v>0.35396477570044904</x:v>
      </x:c>
      <x:c r="J26" s="141" t="n">
        <x:f>IF(J$20=$A26,"",SUMIFS('전체관계'!$Q$2:$Q$133,'전체관계'!$A$2:$A$133,$A26,'전체관계'!$B$2:$B$133,J$20))</x:f>
        <x:v>0.10745647339762526</x:v>
      </x:c>
      <x:c r="K26" s="141" t="n">
        <x:f>IF(K$20=$A26,"",SUMIFS('전체관계'!$Q$2:$Q$133,'전체관계'!$A$2:$A$133,$A26,'전체관계'!$B$2:$B$133,K$20))</x:f>
        <x:v>0.05812056362244435</x:v>
      </x:c>
      <x:c r="L26" s="141" t="n">
        <x:f>IF(L$20=$A26,"",SUMIFS('전체관계'!$Q$2:$Q$133,'전체관계'!$A$2:$A$133,$A26,'전체관계'!$B$2:$B$133,L$20))</x:f>
        <x:v>0.23520086318026903</x:v>
      </x:c>
      <x:c r="M26" s="141" t="n">
        <x:f>IF(M$20=$A26,"",SUMIFS('전체관계'!$Q$2:$Q$133,'전체관계'!$A$2:$A$133,$A26,'전체관계'!$B$2:$B$133,M$20))</x:f>
        <x:v>0.6619764589053057</x:v>
      </x:c>
    </x:row>
    <x:row r="27">
      <x:c r="A27" s="128" t="str">
        <x:v>PF OA</x:v>
      </x:c>
      <x:c r="B27" s="141" t="n">
        <x:f>IF(B$20=$A27,"",SUMIFS('전체관계'!$Q$2:$Q$133,'전체관계'!$A$2:$A$133,$A27,'전체관계'!$B$2:$B$133,B$20))</x:f>
        <x:v>0.19891014866082105</x:v>
      </x:c>
      <x:c r="C27" s="141" t="n">
        <x:f>IF(C$20=$A27,"",SUMIFS('전체관계'!$Q$2:$Q$133,'전체관계'!$A$2:$A$133,$A27,'전체관계'!$B$2:$B$133,C$20))</x:f>
        <x:v>0.3192039204161224</x:v>
      </x:c>
      <x:c r="D27" s="141" t="n">
        <x:f>IF(D$20=$A27,"",SUMIFS('전체관계'!$Q$2:$Q$133,'전체관계'!$A$2:$A$133,$A27,'전체관계'!$B$2:$B$133,D$20))</x:f>
        <x:v>0.8977588079187233</x:v>
      </x:c>
      <x:c r="E27" s="141" t="n">
        <x:f>IF(E$20=$A27,"",SUMIFS('전체관계'!$Q$2:$Q$133,'전체관계'!$A$2:$A$133,$A27,'전체관계'!$B$2:$B$133,E$20))</x:f>
        <x:v>0.643870930127768</x:v>
      </x:c>
      <x:c r="F27" s="141" t="n">
        <x:f>IF(F$20=$A27,"",SUMIFS('전체관계'!$Q$2:$Q$133,'전체관계'!$A$2:$A$133,$A27,'전체관계'!$B$2:$B$133,F$20))</x:f>
        <x:v>0.08792190737530421</x:v>
      </x:c>
      <x:c r="G27" s="141" t="n">
        <x:f>IF(G$20=$A27,"",SUMIFS('전체관계'!$Q$2:$Q$133,'전체관계'!$A$2:$A$133,$A27,'전체관계'!$B$2:$B$133,G$20))</x:f>
        <x:v>0.23520086318026903</x:v>
      </x:c>
      <x:c r="H27" s="141" t="str">
        <x:f>IF(H$20=$A27,"",SUMIFS('전체관계'!$Q$2:$Q$133,'전체관계'!$A$2:$A$133,$A27,'전체관계'!$B$2:$B$133,H$20))</x:f>
      </x:c>
      <x:c r="I27" s="141" t="n">
        <x:f>IF(I$20=$A27,"",SUMIFS('전체관계'!$Q$2:$Q$133,'전체관계'!$A$2:$A$133,$A27,'전체관계'!$B$2:$B$133,I$20))</x:f>
        <x:v>0.7684150728516392</x:v>
      </x:c>
      <x:c r="J27" s="141" t="n">
        <x:f>IF(J$20=$A27,"",SUMIFS('전체관계'!$Q$2:$Q$133,'전체관계'!$A$2:$A$133,$A27,'전체관계'!$B$2:$B$133,J$20))</x:f>
        <x:v>0.13767608002001336</x:v>
      </x:c>
      <x:c r="K27" s="141" t="n">
        <x:f>IF(K$20=$A27,"",SUMIFS('전체관계'!$Q$2:$Q$133,'전체관계'!$A$2:$A$133,$A27,'전체관계'!$B$2:$B$133,K$20))</x:f>
        <x:v>0.2559642905040719</x:v>
      </x:c>
      <x:c r="L27" s="141" t="n">
        <x:f>IF(L$20=$A27,"",SUMIFS('전체관계'!$Q$2:$Q$133,'전체관계'!$A$2:$A$133,$A27,'전체관계'!$B$2:$B$133,L$20))</x:f>
        <x:v>0.17661609047544344</x:v>
      </x:c>
      <x:c r="M27" s="141" t="n">
        <x:f>IF(M$20=$A27,"",SUMIFS('전체관계'!$Q$2:$Q$133,'전체관계'!$A$2:$A$133,$A27,'전체관계'!$B$2:$B$133,M$20))</x:f>
        <x:v>0.35396477570044904</x:v>
      </x:c>
    </x:row>
    <x:row r="28">
      <x:c r="A28" s="128" t="str">
        <x:v>Effusion</x:v>
      </x:c>
      <x:c r="B28" s="141" t="n">
        <x:f>IF(B$20=$A28,"",SUMIFS('전체관계'!$Q$2:$Q$133,'전체관계'!$A$2:$A$133,$A28,'전체관계'!$B$2:$B$133,B$20))</x:f>
        <x:v>0.22172376308988118</x:v>
      </x:c>
      <x:c r="C28" s="141" t="n">
        <x:f>IF(C$20=$A28,"",SUMIFS('전체관계'!$Q$2:$Q$133,'전체관계'!$A$2:$A$133,$A28,'전체관계'!$B$2:$B$133,C$20))</x:f>
        <x:v>0.9999999999999974</x:v>
      </x:c>
      <x:c r="D28" s="141" t="n">
        <x:f>IF(D$20=$A28,"",SUMIFS('전체관계'!$Q$2:$Q$133,'전체관계'!$A$2:$A$133,$A28,'전체관계'!$B$2:$B$133,D$20))</x:f>
        <x:v>0.2699297852346834</x:v>
      </x:c>
      <x:c r="E28" s="141" t="n">
        <x:f>IF(E$20=$A28,"",SUMIFS('전체관계'!$Q$2:$Q$133,'전체관계'!$A$2:$A$133,$A28,'전체관계'!$B$2:$B$133,E$20))</x:f>
        <x:v>0.4874185140876647</x:v>
      </x:c>
      <x:c r="F28" s="141" t="n">
        <x:f>IF(F$20=$A28,"",SUMIFS('전체관계'!$Q$2:$Q$133,'전체관계'!$A$2:$A$133,$A28,'전체관계'!$B$2:$B$133,F$20))</x:f>
        <x:v>0.8977588079187233</x:v>
      </x:c>
      <x:c r="G28" s="141" t="n">
        <x:f>IF(G$20=$A28,"",SUMIFS('전체관계'!$Q$2:$Q$133,'전체관계'!$A$2:$A$133,$A28,'전체관계'!$B$2:$B$133,G$20))</x:f>
        <x:v>0.35396477570044904</x:v>
      </x:c>
      <x:c r="H28" s="141" t="n">
        <x:f>IF(H$20=$A28,"",SUMIFS('전체관계'!$Q$2:$Q$133,'전체관계'!$A$2:$A$133,$A28,'전체관계'!$B$2:$B$133,H$20))</x:f>
        <x:v>0.7684150728516392</x:v>
      </x:c>
      <x:c r="I28" s="141" t="str">
        <x:f>IF(I$20=$A28,"",SUMIFS('전체관계'!$Q$2:$Q$133,'전체관계'!$A$2:$A$133,$A28,'전체관계'!$B$2:$B$133,I$20))</x:f>
      </x:c>
      <x:c r="J28" s="141" t="n">
        <x:f>IF(J$20=$A28,"",SUMIFS('전체관계'!$Q$2:$Q$133,'전체관계'!$A$2:$A$133,$A28,'전체관계'!$B$2:$B$133,J$20))</x:f>
        <x:v>0.05419089721682214</x:v>
      </x:c>
      <x:c r="K28" s="141" t="n">
        <x:f>IF(K$20=$A28,"",SUMIFS('전체관계'!$Q$2:$Q$133,'전체관계'!$A$2:$A$133,$A28,'전체관계'!$B$2:$B$133,K$20))</x:f>
        <x:v>0.8977588079187233</x:v>
      </x:c>
      <x:c r="L28" s="141" t="n">
        <x:f>IF(L$20=$A28,"",SUMIFS('전체관계'!$Q$2:$Q$133,'전체관계'!$A$2:$A$133,$A28,'전체관계'!$B$2:$B$133,L$20))</x:f>
        <x:v>0.643870930127768</x:v>
      </x:c>
      <x:c r="M28" s="141" t="n">
        <x:f>IF(M$20=$A28,"",SUMIFS('전체관계'!$Q$2:$Q$133,'전체관계'!$A$2:$A$133,$A28,'전체관계'!$B$2:$B$133,M$20))</x:f>
        <x:v>0.4715606082228266</x:v>
      </x:c>
    </x:row>
    <x:row r="29">
      <x:c r="A29" s="128" t="str">
        <x:v>Synovitis</x:v>
      </x:c>
      <x:c r="B29" s="141" t="n">
        <x:f>IF(B$20=$A29,"",SUMIFS('전체관계'!$Q$2:$Q$133,'전체관계'!$A$2:$A$133,$A29,'전체관계'!$B$2:$B$133,B$20))</x:f>
        <x:v>0.7755182592392542</x:v>
      </x:c>
      <x:c r="C29" s="141" t="n">
        <x:f>IF(C$20=$A29,"",SUMIFS('전체관계'!$Q$2:$Q$133,'전체관계'!$A$2:$A$133,$A29,'전체관계'!$B$2:$B$133,C$20))</x:f>
        <x:v>0.6619764589053057</x:v>
      </x:c>
      <x:c r="D29" s="141" t="n">
        <x:f>IF(D$20=$A29,"",SUMIFS('전체관계'!$Q$2:$Q$133,'전체관계'!$A$2:$A$133,$A29,'전체관계'!$B$2:$B$133,D$20))</x:f>
        <x:v>0.3609641798947792</x:v>
      </x:c>
      <x:c r="E29" s="141" t="n">
        <x:f>IF(E$20=$A29,"",SUMIFS('전체관계'!$Q$2:$Q$133,'전체관계'!$A$2:$A$133,$A29,'전체관계'!$B$2:$B$133,E$20))</x:f>
        <x:v>0.4874185140876647</x:v>
      </x:c>
      <x:c r="F29" s="141" t="n">
        <x:f>IF(F$20=$A29,"",SUMIFS('전체관계'!$Q$2:$Q$133,'전체관계'!$A$2:$A$133,$A29,'전체관계'!$B$2:$B$133,F$20))</x:f>
        <x:v>0.23520086318026903</x:v>
      </x:c>
      <x:c r="G29" s="141" t="n">
        <x:f>IF(G$20=$A29,"",SUMIFS('전체관계'!$Q$2:$Q$133,'전체관계'!$A$2:$A$133,$A29,'전체관계'!$B$2:$B$133,G$20))</x:f>
        <x:v>0.10745647339762526</x:v>
      </x:c>
      <x:c r="H29" s="141" t="n">
        <x:f>IF(H$20=$A29,"",SUMIFS('전체관계'!$Q$2:$Q$133,'전체관계'!$A$2:$A$133,$A29,'전체관계'!$B$2:$B$133,H$20))</x:f>
        <x:v>0.13767608002001336</x:v>
      </x:c>
      <x:c r="I29" s="141" t="n">
        <x:f>IF(I$20=$A29,"",SUMIFS('전체관계'!$Q$2:$Q$133,'전체관계'!$A$2:$A$133,$A29,'전체관계'!$B$2:$B$133,I$20))</x:f>
        <x:v>0.05419089721682214</x:v>
      </x:c>
      <x:c r="J29" s="141" t="str">
        <x:f>IF(J$20=$A29,"",SUMIFS('전체관계'!$Q$2:$Q$133,'전체관계'!$A$2:$A$133,$A29,'전체관계'!$B$2:$B$133,J$20))</x:f>
      </x:c>
      <x:c r="K29" s="141" t="n">
        <x:f>IF(K$20=$A29,"",SUMIFS('전체관계'!$Q$2:$Q$133,'전체관계'!$A$2:$A$133,$A29,'전체관계'!$B$2:$B$133,K$20))</x:f>
        <x:v>0.3641819610160257</x:v>
      </x:c>
      <x:c r="L29" s="141" t="n">
        <x:f>IF(L$20=$A29,"",SUMIFS('전체관계'!$Q$2:$Q$133,'전체관계'!$A$2:$A$133,$A29,'전체관계'!$B$2:$B$133,L$20))</x:f>
        <x:v>0.7684150728516392</x:v>
      </x:c>
      <x:c r="M29" s="141" t="n">
        <x:f>IF(M$20=$A29,"",SUMIFS('전체관계'!$Q$2:$Q$133,'전체관계'!$A$2:$A$133,$A29,'전체관계'!$B$2:$B$133,M$20))</x:f>
        <x:v>0.8977588079187233</x:v>
      </x:c>
    </x:row>
    <x:row r="30">
      <x:c r="A30" s="128" t="str">
        <x:v>Baker's</x:v>
      </x:c>
      <x:c r="B30" s="141" t="n">
        <x:f>IF(B$20=$A30,"",SUMIFS('전체관계'!$Q$2:$Q$133,'전체관계'!$A$2:$A$133,$A30,'전체관계'!$B$2:$B$133,B$20))</x:f>
        <x:v>0.8977588079187233</x:v>
      </x:c>
      <x:c r="C30" s="141" t="n">
        <x:f>IF(C$20=$A30,"",SUMIFS('전체관계'!$Q$2:$Q$133,'전체관계'!$A$2:$A$133,$A30,'전체관계'!$B$2:$B$133,C$20))</x:f>
        <x:v>0.3609641798947792</x:v>
      </x:c>
      <x:c r="D30" s="141" t="n">
        <x:f>IF(D$20=$A30,"",SUMIFS('전체관계'!$Q$2:$Q$133,'전체관계'!$A$2:$A$133,$A30,'전체관계'!$B$2:$B$133,D$20))</x:f>
        <x:v>0.12700565537260383</x:v>
      </x:c>
      <x:c r="E30" s="141" t="n">
        <x:f>IF(E$20=$A30,"",SUMIFS('전체관계'!$Q$2:$Q$133,'전체관계'!$A$2:$A$133,$A30,'전체관계'!$B$2:$B$133,E$20))</x:f>
        <x:v>0.1922477805238194</x:v>
      </x:c>
      <x:c r="F30" s="141" t="n">
        <x:f>IF(F$20=$A30,"",SUMIFS('전체관계'!$Q$2:$Q$133,'전체관계'!$A$2:$A$133,$A30,'전체관계'!$B$2:$B$133,F$20))</x:f>
        <x:v>0.05419089721682214</x:v>
      </x:c>
      <x:c r="G30" s="141" t="n">
        <x:f>IF(G$20=$A30,"",SUMIFS('전체관계'!$Q$2:$Q$133,'전체관계'!$A$2:$A$133,$A30,'전체관계'!$B$2:$B$133,G$20))</x:f>
        <x:v>0.05812056362244435</x:v>
      </x:c>
      <x:c r="H30" s="141" t="n">
        <x:f>IF(H$20=$A30,"",SUMIFS('전체관계'!$Q$2:$Q$133,'전체관계'!$A$2:$A$133,$A30,'전체관계'!$B$2:$B$133,H$20))</x:f>
        <x:v>0.2559642905040719</x:v>
      </x:c>
      <x:c r="I30" s="141" t="n">
        <x:f>IF(I$20=$A30,"",SUMIFS('전체관계'!$Q$2:$Q$133,'전체관계'!$A$2:$A$133,$A30,'전체관계'!$B$2:$B$133,I$20))</x:f>
        <x:v>0.8977588079187233</x:v>
      </x:c>
      <x:c r="J30" s="141" t="n">
        <x:f>IF(J$20=$A30,"",SUMIFS('전체관계'!$Q$2:$Q$133,'전체관계'!$A$2:$A$133,$A30,'전체관계'!$B$2:$B$133,J$20))</x:f>
        <x:v>0.3641819610160257</x:v>
      </x:c>
      <x:c r="K30" s="141" t="str">
        <x:f>IF(K$20=$A30,"",SUMIFS('전체관계'!$Q$2:$Q$133,'전체관계'!$A$2:$A$133,$A30,'전체관계'!$B$2:$B$133,K$20))</x:f>
      </x:c>
      <x:c r="L30" s="141" t="n">
        <x:f>IF(L$20=$A30,"",SUMIFS('전체관계'!$Q$2:$Q$133,'전체관계'!$A$2:$A$133,$A30,'전체관계'!$B$2:$B$133,L$20))</x:f>
        <x:v>0.8977588079187233</x:v>
      </x:c>
      <x:c r="M30" s="141" t="n">
        <x:f>IF(M$20=$A30,"",SUMIFS('전체관계'!$Q$2:$Q$133,'전체관계'!$A$2:$A$133,$A30,'전체관계'!$B$2:$B$133,M$20))</x:f>
        <x:v>0.5062193777966615</x:v>
      </x:c>
    </x:row>
    <x:row r="31">
      <x:c r="A31" s="128" t="str">
        <x:v>Contusion</x:v>
      </x:c>
      <x:c r="B31" s="141" t="n">
        <x:f>IF(B$20=$A31,"",SUMIFS('전체관계'!$Q$2:$Q$133,'전체관계'!$A$2:$A$133,$A31,'전체관계'!$B$2:$B$133,B$20))</x:f>
        <x:v>0.05419089721682214</x:v>
      </x:c>
      <x:c r="C31" s="141" t="n">
        <x:f>IF(C$20=$A31,"",SUMIFS('전체관계'!$Q$2:$Q$133,'전체관계'!$A$2:$A$133,$A31,'전체관계'!$B$2:$B$133,C$20))</x:f>
        <x:v>0.6619764589053057</x:v>
      </x:c>
      <x:c r="D31" s="141" t="n">
        <x:f>IF(D$20=$A31,"",SUMIFS('전체관계'!$Q$2:$Q$133,'전체관계'!$A$2:$A$133,$A31,'전체관계'!$B$2:$B$133,D$20))</x:f>
        <x:v>0.9999999999999974</x:v>
      </x:c>
      <x:c r="E31" s="141" t="n">
        <x:f>IF(E$20=$A31,"",SUMIFS('전체관계'!$Q$2:$Q$133,'전체관계'!$A$2:$A$133,$A31,'전체관계'!$B$2:$B$133,E$20))</x:f>
        <x:v>0.35396477570044904</x:v>
      </x:c>
      <x:c r="F31" s="141" t="n">
        <x:f>IF(F$20=$A31,"",SUMIFS('전체관계'!$Q$2:$Q$133,'전체관계'!$A$2:$A$133,$A31,'전체관계'!$B$2:$B$133,F$20))</x:f>
        <x:v>0.09159854799521921</x:v>
      </x:c>
      <x:c r="G31" s="141" t="n">
        <x:f>IF(G$20=$A31,"",SUMIFS('전체관계'!$Q$2:$Q$133,'전체관계'!$A$2:$A$133,$A31,'전체관계'!$B$2:$B$133,G$20))</x:f>
        <x:v>0.23520086318026903</x:v>
      </x:c>
      <x:c r="H31" s="141" t="n">
        <x:f>IF(H$20=$A31,"",SUMIFS('전체관계'!$Q$2:$Q$133,'전체관계'!$A$2:$A$133,$A31,'전체관계'!$B$2:$B$133,H$20))</x:f>
        <x:v>0.17661609047544344</x:v>
      </x:c>
      <x:c r="I31" s="141" t="n">
        <x:f>IF(I$20=$A31,"",SUMIFS('전체관계'!$Q$2:$Q$133,'전체관계'!$A$2:$A$133,$A31,'전체관계'!$B$2:$B$133,I$20))</x:f>
        <x:v>0.643870930127768</x:v>
      </x:c>
      <x:c r="J31" s="141" t="n">
        <x:f>IF(J$20=$A31,"",SUMIFS('전체관계'!$Q$2:$Q$133,'전체관계'!$A$2:$A$133,$A31,'전체관계'!$B$2:$B$133,J$20))</x:f>
        <x:v>0.7684150728516392</x:v>
      </x:c>
      <x:c r="K31" s="141" t="n">
        <x:f>IF(K$20=$A31,"",SUMIFS('전체관계'!$Q$2:$Q$133,'전체관계'!$A$2:$A$133,$A31,'전체관계'!$B$2:$B$133,K$20))</x:f>
        <x:v>0.8977588079187233</x:v>
      </x:c>
      <x:c r="L31" s="141" t="str">
        <x:f>IF(L$20=$A31,"",SUMIFS('전체관계'!$Q$2:$Q$133,'전체관계'!$A$2:$A$133,$A31,'전체관계'!$B$2:$B$133,L$20))</x:f>
      </x:c>
      <x:c r="M31" s="141" t="n">
        <x:f>IF(M$20=$A31,"",SUMIFS('전체관계'!$Q$2:$Q$133,'전체관계'!$A$2:$A$133,$A31,'전체관계'!$B$2:$B$133,M$20))</x:f>
        <x:v>0.10745647339762526</x:v>
      </x:c>
    </x:row>
    <x:row r="32">
      <x:c r="A32" s="128" t="str">
        <x:v>Fracture</x:v>
      </x:c>
      <x:c r="B32" s="141" t="n">
        <x:f>IF(B$20=$A32,"",SUMIFS('전체관계'!$Q$2:$Q$133,'전체관계'!$A$2:$A$133,$A32,'전체관계'!$B$2:$B$133,B$20))</x:f>
        <x:v>0.1922477805238194</x:v>
      </x:c>
      <x:c r="C32" s="141" t="n">
        <x:f>IF(C$20=$A32,"",SUMIFS('전체관계'!$Q$2:$Q$133,'전체관계'!$A$2:$A$133,$A32,'전체관계'!$B$2:$B$133,C$20))</x:f>
        <x:v>0.6570118885668618</x:v>
      </x:c>
      <x:c r="D32" s="141" t="n">
        <x:f>IF(D$20=$A32,"",SUMIFS('전체관계'!$Q$2:$Q$133,'전체관계'!$A$2:$A$133,$A32,'전체관계'!$B$2:$B$133,D$20))</x:f>
        <x:v>0.8977588079187233</x:v>
      </x:c>
      <x:c r="E32" s="141" t="n">
        <x:f>IF(E$20=$A32,"",SUMIFS('전체관계'!$Q$2:$Q$133,'전체관계'!$A$2:$A$133,$A32,'전체관계'!$B$2:$B$133,E$20))</x:f>
        <x:v>0.9999999999999974</x:v>
      </x:c>
      <x:c r="F32" s="141" t="n">
        <x:f>IF(F$20=$A32,"",SUMIFS('전체관계'!$Q$2:$Q$133,'전체관계'!$A$2:$A$133,$A32,'전체관계'!$B$2:$B$133,F$20))</x:f>
        <x:v>0.2738646785392582</x:v>
      </x:c>
      <x:c r="G32" s="141" t="n">
        <x:f>IF(G$20=$A32,"",SUMIFS('전체관계'!$Q$2:$Q$133,'전체관계'!$A$2:$A$133,$A32,'전체관계'!$B$2:$B$133,G$20))</x:f>
        <x:v>0.6619764589053057</x:v>
      </x:c>
      <x:c r="H32" s="141" t="n">
        <x:f>IF(H$20=$A32,"",SUMIFS('전체관계'!$Q$2:$Q$133,'전체관계'!$A$2:$A$133,$A32,'전체관계'!$B$2:$B$133,H$20))</x:f>
        <x:v>0.35396477570044904</x:v>
      </x:c>
      <x:c r="I32" s="141" t="n">
        <x:f>IF(I$20=$A32,"",SUMIFS('전체관계'!$Q$2:$Q$133,'전체관계'!$A$2:$A$133,$A32,'전체관계'!$B$2:$B$133,I$20))</x:f>
        <x:v>0.4715606082228266</x:v>
      </x:c>
      <x:c r="J32" s="141" t="n">
        <x:f>IF(J$20=$A32,"",SUMIFS('전체관계'!$Q$2:$Q$133,'전체관계'!$A$2:$A$133,$A32,'전체관계'!$B$2:$B$133,J$20))</x:f>
        <x:v>0.8977588079187233</x:v>
      </x:c>
      <x:c r="K32" s="141" t="n">
        <x:f>IF(K$20=$A32,"",SUMIFS('전체관계'!$Q$2:$Q$133,'전체관계'!$A$2:$A$133,$A32,'전체관계'!$B$2:$B$133,K$20))</x:f>
        <x:v>0.5062193777966615</x:v>
      </x:c>
      <x:c r="L32" s="141" t="n">
        <x:f>IF(L$20=$A32,"",SUMIFS('전체관계'!$Q$2:$Q$133,'전체관계'!$A$2:$A$133,$A32,'전체관계'!$B$2:$B$133,L$20))</x:f>
        <x:v>0.10745647339762526</x:v>
      </x:c>
      <x:c r="M32" s="141" t="str">
        <x:f>IF(M$20=$A32,"",SUMIFS('전체관계'!$Q$2:$Q$133,'전체관계'!$A$2:$A$133,$A32,'전체관계'!$B$2:$B$133,M$20))</x:f>
      </x:c>
    </x:row>
  </x:sheetData>
  <x:mergeCells>
    <x:mergeCell ref="A1:M1"/>
    <x:mergeCell ref="A18:M18"/>
  </x:mergeCells>
  <x:conditionalFormatting sqref="B4:M15">
    <x:cfRule type="colorScale" priority="1">
      <x:colorScale>
        <x:cfvo type="min"/>
        <x:cfvo type="num" val="0"/>
        <x:cfvo type="max"/>
        <x:color rgb="FFB42318"/>
        <x:color rgb="FFFFFFFF"/>
        <x:color rgb="FF2E7D32"/>
      </x:colorScale>
    </x:cfRule>
  </x:conditionalFormatting>
  <x:conditionalFormatting sqref="B21:M32">
    <x:cfRule type="expression" dxfId="44" priority="2">
      <x:formula>AND(B21&lt;&gt;"",B21&lt;=0.05)</x:formula>
    </x:cfRule>
    <x:cfRule type="expression" dxfId="45" priority="3">
      <x:formula>AND(B21&gt;0.05,B21&lt;=0.10)</x:formula>
    </x:cfRule>
    <x:cfRule type="expression" dxfId="46" priority="4">
      <x:formula>B21&gt;0.10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8" hidden="0" customWidth="1"/>
    <x:col min="19" max="19" width="12" hidden="0" customWidth="1"/>
  </x:cols>
  <x:sheetData>
    <x:row r="1" ht="34" customHeight="1">
      <x:c r="A1" s="4" t="str">
        <x:v>관련 소견 A</x:v>
      </x:c>
      <x:c r="B1" s="4" t="str">
        <x:v>미언급 타깃 B</x:v>
      </x:c>
      <x:c r="C1" s="4" t="str">
        <x:v>a: A1·B1</x:v>
      </x:c>
      <x:c r="D1" s="4" t="str">
        <x:v>b: A1·B0</x:v>
      </x:c>
      <x:c r="E1" s="4" t="str">
        <x:v>c: A0·B1</x:v>
      </x:c>
      <x:c r="F1" s="4" t="str">
        <x:v>d: A0·B0</x:v>
      </x:c>
      <x:c r="G1" s="4" t="str">
        <x:v>A=1 표본수</x:v>
      </x:c>
      <x:c r="H1" s="4" t="str">
        <x:v>P(B=1|A=1)</x:v>
      </x:c>
      <x:c r="I1" s="4" t="str">
        <x:v>A=0 표본수</x:v>
      </x:c>
      <x:c r="J1" s="4" t="str">
        <x:v>P(B=1|A=0)</x:v>
      </x:c>
      <x:c r="K1" s="4" t="str">
        <x:v>위험도 차이</x:v>
      </x:c>
      <x:c r="L1" s="4" t="str">
        <x:v>상대위험도</x:v>
      </x:c>
      <x:c r="M1" s="4" t="str">
        <x:v>오즈비</x:v>
      </x:c>
      <x:c r="N1" s="4" t="str">
        <x:v>OR 95% 하한</x:v>
      </x:c>
      <x:c r="O1" s="4" t="str">
        <x:v>OR 95% 상한</x:v>
      </x:c>
      <x:c r="P1" s="4" t="str">
        <x:v>Fisher p</x:v>
      </x:c>
      <x:c r="Q1" s="4" t="str">
        <x:v>BH q</x:v>
      </x:c>
      <x:c r="R1" s="4" t="str">
        <x:v>임상적 해석</x:v>
      </x:c>
      <x:c r="S1" s="4" t="str">
        <x:v>분류</x:v>
      </x:c>
    </x:row>
    <x:row r="2" ht="36" customHeight="1">
      <x:c r="A2" t="str">
        <x:v>Effusion</x:v>
      </x:c>
      <x:c r="B2" t="str">
        <x:v>Synovitis</x:v>
      </x:c>
      <x:c r="C2" t="n">
        <x:v>22</x:v>
      </x:c>
      <x:c r="D2" t="n">
        <x:v>13</x:v>
      </x:c>
      <x:c r="E2" t="n">
        <x:v>5</x:v>
      </x:c>
      <x:c r="F2" t="n">
        <x:v>18</x:v>
      </x:c>
      <x:c r="G2" t="n">
        <x:f>C2+D2</x:f>
        <x:v>35</x:v>
      </x:c>
      <x:c r="H2" s="5" t="n">
        <x:f>IFERROR(C2/G2,"")</x:f>
        <x:v>0.6285714285714286</x:v>
      </x:c>
      <x:c r="I2" s="6" t="n">
        <x:f>E2+F2</x:f>
        <x:v>23</x:v>
      </x:c>
      <x:c r="J2" s="5" t="n">
        <x:f>IFERROR(E2/I2,"")</x:f>
        <x:v>0.21739130434782608</x:v>
      </x:c>
      <x:c r="K2" s="5" t="n">
        <x:f>H2-J2</x:f>
        <x:v>0.4111801242236025</x:v>
      </x:c>
      <x:c r="L2" s="7" t="n">
        <x:f>IFERROR(H2/J2,"")</x:f>
        <x:v>2.8914285714285715</x:v>
      </x:c>
      <x:c r="M2" s="7" t="n">
        <x:f>IFERROR((C2*F2)/(D2*E2),"")</x:f>
        <x:v>6.092307692307692</x:v>
      </x:c>
      <x:c r="N2" s="7" t="n">
        <x:f>IFERROR(EXP(LN(M2)-1.96*SQRT(1/C2+1/D2+1/E2+1/F2)),"")</x:f>
        <x:v>1.8259347512373374</x:v>
      </x:c>
      <x:c r="O2" s="7" t="n">
        <x:f>IFERROR(EXP(LN(M2)+1.96*SQRT(1/C2+1/D2+1/E2+1/F2)),"")</x:f>
        <x:v>20.327239509845473</x:v>
      </x:c>
      <x:c r="P2" s="8" t="n">
        <x:v>0.0030085675678955034</x:v>
      </x:c>
      <x:c r="Q2" s="8" t="n">
        <x:v>0.05419089721682214</x:v>
      </x:c>
      <x:c r="R2" s="9" t="str">
        <x:v>염증과 관절액 증가가 함께 나타날 수 있으나 동일 소견은 아님.</x:v>
      </x:c>
      <x:c r="S2" t="str">
        <x:v>우선 검토</x:v>
      </x:c>
    </x:row>
    <x:row r="3" ht="36" customHeight="1">
      <x:c r="A3" t="str">
        <x:v>ACL</x:v>
      </x:c>
      <x:c r="B3" t="str">
        <x:v>Contusion</x:v>
      </x:c>
      <x:c r="C3" t="n">
        <x:v>13</x:v>
      </x:c>
      <x:c r="D3" t="n">
        <x:v>11</x:v>
      </x:c>
      <x:c r="E3" t="n">
        <x:v>6</x:v>
      </x:c>
      <x:c r="F3" t="n">
        <x:v>28</x:v>
      </x:c>
      <x:c r="G3" t="n">
        <x:f>C3+D3</x:f>
        <x:v>24</x:v>
      </x:c>
      <x:c r="H3" s="5" t="n">
        <x:f>IFERROR(C3/G3,"")</x:f>
        <x:v>0.5416666666666666</x:v>
      </x:c>
      <x:c r="I3" s="6" t="n">
        <x:f>E3+F3</x:f>
        <x:v>34</x:v>
      </x:c>
      <x:c r="J3" s="5" t="n">
        <x:f>IFERROR(E3/I3,"")</x:f>
        <x:v>0.17647058823529413</x:v>
      </x:c>
      <x:c r="K3" s="5" t="n">
        <x:f>H3-J3</x:f>
        <x:v>0.3651960784313725</x:v>
      </x:c>
      <x:c r="L3" s="7" t="n">
        <x:f>IFERROR(H3/J3,"")</x:f>
        <x:v>3.069444444444444</x:v>
      </x:c>
      <x:c r="M3" s="7" t="n">
        <x:f>IFERROR((C3*F3)/(D3*E3),"")</x:f>
        <x:v>5.515151515151516</x:v>
      </x:c>
      <x:c r="N3" s="7" t="n">
        <x:f>IFERROR(EXP(LN(M3)-1.96*SQRT(1/C3+1/D3+1/E3+1/F3)),"")</x:f>
        <x:v>1.673528646062823</x:v>
      </x:c>
      <x:c r="O3" s="7" t="n">
        <x:f>IFERROR(EXP(LN(M3)+1.96*SQRT(1/C3+1/D3+1/E3+1/F3)),"")</x:f>
        <x:v>18.17530659342907</x:v>
      </x:c>
      <x:c r="P3" s="8" t="n">
        <x:v>0.004926445201529285</x:v>
      </x:c>
      <x:c r="Q3" s="8" t="n">
        <x:v>0.05419089721682214</x:v>
      </x:c>
      <x:c r="R3" s="9" t="str">
        <x:v>회전 외상에서 ACL 손상과 골좌상이 동반될 수 있음.</x:v>
      </x:c>
      <x:c r="S3" t="str">
        <x:v>우선 검토</x:v>
      </x:c>
    </x:row>
    <x:row r="4" ht="36" customHeight="1">
      <x:c r="A4" t="str">
        <x:v>Medial Meniscus</x:v>
      </x:c>
      <x:c r="B4" t="str">
        <x:v>Medial OA</x:v>
      </x:c>
      <x:c r="C4" t="n">
        <x:v>12</x:v>
      </x:c>
      <x:c r="D4" t="n">
        <x:v>14</x:v>
      </x:c>
      <x:c r="E4" t="n">
        <x:v>3</x:v>
      </x:c>
      <x:c r="F4" t="n">
        <x:v>29</x:v>
      </x:c>
      <x:c r="G4" t="n">
        <x:f>C4+D4</x:f>
        <x:v>26</x:v>
      </x:c>
      <x:c r="H4" s="5" t="n">
        <x:f>IFERROR(C4/G4,"")</x:f>
        <x:v>0.46153846153846156</x:v>
      </x:c>
      <x:c r="I4" s="6" t="n">
        <x:f>E4+F4</x:f>
        <x:v>32</x:v>
      </x:c>
      <x:c r="J4" s="5" t="n">
        <x:f>IFERROR(E4/I4,"")</x:f>
        <x:v>0.09375</x:v>
      </x:c>
      <x:c r="K4" s="5" t="n">
        <x:f>H4-J4</x:f>
        <x:v>0.36778846153846156</x:v>
      </x:c>
      <x:c r="L4" s="7" t="n">
        <x:f>IFERROR(H4/J4,"")</x:f>
        <x:v>4.923076923076923</x:v>
      </x:c>
      <x:c r="M4" s="7" t="n">
        <x:f>IFERROR((C4*F4)/(D4*E4),"")</x:f>
        <x:v>8.285714285714286</x:v>
      </x:c>
      <x:c r="N4" s="7" t="n">
        <x:f>IFERROR(EXP(LN(M4)-1.96*SQRT(1/C4+1/D4+1/E4+1/F4)),"")</x:f>
        <x:v>2.009041124367618</x:v>
      </x:c>
      <x:c r="O4" s="7" t="n">
        <x:f>IFERROR(EXP(LN(M4)+1.96*SQRT(1/C4+1/D4+1/E4+1/F4)),"")</x:f>
        <x:v>34.17205371846214</x:v>
      </x:c>
      <x:c r="P4" s="8" t="n">
        <x:v>0.002225037552215381</x:v>
      </x:c>
      <x:c r="Q4" s="8" t="n">
        <x:v>0.05419089721682214</x:v>
      </x:c>
      <x:c r="R4" s="9" t="str">
        <x:v>같은 내측 구획의 퇴행성 변화가 함께 관찰될 수 있음.</x:v>
      </x:c>
      <x:c r="S4" t="str">
        <x:v>우선 검토</x:v>
      </x:c>
    </x:row>
    <x:row r="5" ht="36" customHeight="1">
      <x:c r="A5" t="str">
        <x:v>Lateral Meniscus</x:v>
      </x:c>
      <x:c r="B5" t="str">
        <x:v>Lateral OA</x:v>
      </x:c>
      <x:c r="C5" t="n">
        <x:v>9</x:v>
      </x:c>
      <x:c r="D5" t="n">
        <x:v>14</x:v>
      </x:c>
      <x:c r="E5" t="n">
        <x:v>2</x:v>
      </x:c>
      <x:c r="F5" t="n">
        <x:v>33</x:v>
      </x:c>
      <x:c r="G5" t="n">
        <x:f>C5+D5</x:f>
        <x:v>23</x:v>
      </x:c>
      <x:c r="H5" s="5" t="n">
        <x:f>IFERROR(C5/G5,"")</x:f>
        <x:v>0.391304347826087</x:v>
      </x:c>
      <x:c r="I5" s="6" t="n">
        <x:f>E5+F5</x:f>
        <x:v>35</x:v>
      </x:c>
      <x:c r="J5" s="5" t="n">
        <x:f>IFERROR(E5/I5,"")</x:f>
        <x:v>0.05714285714285714</x:v>
      </x:c>
      <x:c r="K5" s="5" t="n">
        <x:f>H5-J5</x:f>
        <x:v>0.3341614906832298</x:v>
      </x:c>
      <x:c r="L5" s="7" t="n">
        <x:f>IFERROR(H5/J5,"")</x:f>
        <x:v>6.847826086956522</x:v>
      </x:c>
      <x:c r="M5" s="7" t="n">
        <x:f>IFERROR((C5*F5)/(D5*E5),"")</x:f>
        <x:v>10.607142857142858</x:v>
      </x:c>
      <x:c r="N5" s="7" t="n">
        <x:f>IFERROR(EXP(LN(M5)-1.96*SQRT(1/C5+1/D5+1/E5+1/F5)),"")</x:f>
        <x:v>2.027288873146697</x:v>
      </x:c>
      <x:c r="O5" s="7" t="n">
        <x:f>IFERROR(EXP(LN(M5)+1.96*SQRT(1/C5+1/D5+1/E5+1/F5)),"")</x:f>
        <x:v>55.49849411307615</x:v>
      </x:c>
      <x:c r="P5" s="8" t="n">
        <x:v>0.004149672138406144</x:v>
      </x:c>
      <x:c r="Q5" s="8" t="n">
        <x:v>0.05419089721682214</x:v>
      </x:c>
      <x:c r="R5" s="9" t="str">
        <x:v>같은 외측 구획의 반월상연골 손상과 OA가 연관될 수 있음.</x:v>
      </x:c>
      <x:c r="S5" t="str">
        <x:v>우선 검토</x:v>
      </x:c>
    </x:row>
    <x:row r="6" ht="36" customHeight="1">
      <x:c r="A6" t="str">
        <x:v>Fracture</x:v>
      </x:c>
      <x:c r="B6" t="str">
        <x:v>Contusion</x:v>
      </x:c>
      <x:c r="C6" t="n">
        <x:v>10</x:v>
      </x:c>
      <x:c r="D6" t="n">
        <x:v>8</x:v>
      </x:c>
      <x:c r="E6" t="n">
        <x:v>9</x:v>
      </x:c>
      <x:c r="F6" t="n">
        <x:v>31</x:v>
      </x:c>
      <x:c r="G6" t="n">
        <x:f>C6+D6</x:f>
        <x:v>18</x:v>
      </x:c>
      <x:c r="H6" s="5" t="n">
        <x:f>IFERROR(C6/G6,"")</x:f>
        <x:v>0.5555555555555556</x:v>
      </x:c>
      <x:c r="I6" s="6" t="n">
        <x:f>E6+F6</x:f>
        <x:v>40</x:v>
      </x:c>
      <x:c r="J6" s="5" t="n">
        <x:f>IFERROR(E6/I6,"")</x:f>
        <x:v>0.225</x:v>
      </x:c>
      <x:c r="K6" s="5" t="n">
        <x:f>H6-J6</x:f>
        <x:v>0.3305555555555556</x:v>
      </x:c>
      <x:c r="L6" s="7" t="n">
        <x:f>IFERROR(H6/J6,"")</x:f>
        <x:v>2.4691358024691357</x:v>
      </x:c>
      <x:c r="M6" s="7" t="n">
        <x:f>IFERROR((C6*F6)/(D6*E6),"")</x:f>
        <x:v>4.305555555555555</x:v>
      </x:c>
      <x:c r="N6" s="7" t="n">
        <x:f>IFERROR(EXP(LN(M6)-1.96*SQRT(1/C6+1/D6+1/E6+1/F6)),"")</x:f>
        <x:v>1.3103772353786196</x:v>
      </x:c>
      <x:c r="O6" s="7" t="n">
        <x:f>IFERROR(EXP(LN(M6)+1.96*SQRT(1/C6+1/D6+1/E6+1/F6)),"")</x:f>
        <x:v>14.146925130776562</x:v>
      </x:c>
      <x:c r="P6" s="8" t="n">
        <x:v>0.017909412232937544</x:v>
      </x:c>
      <x:c r="Q6" s="8" t="n">
        <x:v>0.10745647339762526</x:v>
      </x:c>
      <x:c r="R6" s="9" t="str">
        <x:v>공통 외상 기전에 의해 골좌상과 골절이 함께 나타날 수 있음.</x:v>
      </x:c>
      <x:c r="S6" t="str">
        <x:v>우선 검토</x:v>
      </x:c>
    </x:row>
    <x:row r="7" ht="36" customHeight="1">
      <x:c r="A7" t="str">
        <x:v>Medial OA</x:v>
      </x:c>
      <x:c r="B7" t="str">
        <x:v>PF OA</x:v>
      </x:c>
      <x:c r="C7" t="n">
        <x:v>10</x:v>
      </x:c>
      <x:c r="D7" t="n">
        <x:v>5</x:v>
      </x:c>
      <x:c r="E7" t="n">
        <x:v>11</x:v>
      </x:c>
      <x:c r="F7" t="n">
        <x:v>32</x:v>
      </x:c>
      <x:c r="G7" t="n">
        <x:f>C7+D7</x:f>
        <x:v>15</x:v>
      </x:c>
      <x:c r="H7" s="5" t="n">
        <x:f>IFERROR(C7/G7,"")</x:f>
        <x:v>0.6666666666666666</x:v>
      </x:c>
      <x:c r="I7" s="6" t="n">
        <x:f>E7+F7</x:f>
        <x:v>43</x:v>
      </x:c>
      <x:c r="J7" s="5" t="n">
        <x:f>IFERROR(E7/I7,"")</x:f>
        <x:v>0.2558139534883721</x:v>
      </x:c>
      <x:c r="K7" s="5" t="n">
        <x:f>H7-J7</x:f>
        <x:v>0.4108527131782945</x:v>
      </x:c>
      <x:c r="L7" s="7" t="n">
        <x:f>IFERROR(H7/J7,"")</x:f>
        <x:v>2.606060606060606</x:v>
      </x:c>
      <x:c r="M7" s="7" t="n">
        <x:f>IFERROR((C7*F7)/(D7*E7),"")</x:f>
        <x:v>5.818181818181818</x:v>
      </x:c>
      <x:c r="N7" s="7" t="n">
        <x:f>IFERROR(EXP(LN(M7)-1.96*SQRT(1/C7+1/D7+1/E7+1/F7)),"")</x:f>
        <x:v>1.6282436202924457</x:v>
      </x:c>
      <x:c r="O7" s="7" t="n">
        <x:f>IFERROR(EXP(LN(M7)+1.96*SQRT(1/C7+1/D7+1/E7+1/F7)),"")</x:f>
        <x:v>20.79003365807232</x:v>
      </x:c>
      <x:c r="P7" s="8" t="n">
        <x:v>0.010657200893976268</x:v>
      </x:c>
      <x:c r="Q7" s="8" t="n">
        <x:v>0.08792190737530421</x:v>
      </x:c>
      <x:c r="R7" s="9" t="str">
        <x:v>다구획 퇴행성 변화의 공통 질병 부담을 반영할 수 있음.</x:v>
      </x:c>
      <x:c r="S7" t="str">
        <x:v>우선 검토</x:v>
      </x:c>
    </x:row>
    <x:row r="8" ht="36" customHeight="1">
      <x:c r="A8" t="str">
        <x:v>Lateral OA</x:v>
      </x:c>
      <x:c r="B8" t="str">
        <x:v>Lateral Meniscus</x:v>
      </x:c>
      <x:c r="C8" t="n">
        <x:v>9</x:v>
      </x:c>
      <x:c r="D8" t="n">
        <x:v>2</x:v>
      </x:c>
      <x:c r="E8" t="n">
        <x:v>14</x:v>
      </x:c>
      <x:c r="F8" t="n">
        <x:v>33</x:v>
      </x:c>
      <x:c r="G8" t="n">
        <x:f>C8+D8</x:f>
        <x:v>11</x:v>
      </x:c>
      <x:c r="H8" s="5" t="n">
        <x:f>IFERROR(C8/G8,"")</x:f>
        <x:v>0.8181818181818182</x:v>
      </x:c>
      <x:c r="I8" s="6" t="n">
        <x:f>E8+F8</x:f>
        <x:v>47</x:v>
      </x:c>
      <x:c r="J8" s="5" t="n">
        <x:f>IFERROR(E8/I8,"")</x:f>
        <x:v>0.2978723404255319</x:v>
      </x:c>
      <x:c r="K8" s="5" t="n">
        <x:f>H8-J8</x:f>
        <x:v>0.5203094777562863</x:v>
      </x:c>
      <x:c r="L8" s="7" t="n">
        <x:f>IFERROR(H8/J8,"")</x:f>
        <x:v>2.746753246753247</x:v>
      </x:c>
      <x:c r="M8" s="7" t="n">
        <x:f>IFERROR((C8*F8)/(D8*E8),"")</x:f>
        <x:v>10.607142857142858</x:v>
      </x:c>
      <x:c r="N8" s="7" t="n">
        <x:f>IFERROR(EXP(LN(M8)-1.96*SQRT(1/C8+1/D8+1/E8+1/F8)),"")</x:f>
        <x:v>2.027288873146697</x:v>
      </x:c>
      <x:c r="O8" s="7" t="n">
        <x:f>IFERROR(EXP(LN(M8)+1.96*SQRT(1/C8+1/D8+1/E8+1/F8)),"")</x:f>
        <x:v>55.49849411307615</x:v>
      </x:c>
      <x:c r="P8" s="8" t="n">
        <x:v>0.004149672138406144</x:v>
      </x:c>
      <x:c r="Q8" s="8" t="n">
        <x:v>0.05419089721682214</x:v>
      </x:c>
      <x:c r="R8" s="9" t="str">
        <x:v>통계적 후보이며 임상적 검토 필요.</x:v>
      </x:c>
      <x:c r="S8" t="str">
        <x:v>탐색</x:v>
      </x:c>
    </x:row>
    <x:row r="9" ht="36" customHeight="1">
      <x:c r="A9" t="str">
        <x:v>Baker's</x:v>
      </x:c>
      <x:c r="B9" t="str">
        <x:v>Medial OA</x:v>
      </x:c>
      <x:c r="C9" t="n">
        <x:v>8</x:v>
      </x:c>
      <x:c r="D9" t="n">
        <x:v>4</x:v>
      </x:c>
      <x:c r="E9" t="n">
        <x:v>7</x:v>
      </x:c>
      <x:c r="F9" t="n">
        <x:v>39</x:v>
      </x:c>
      <x:c r="G9" t="n">
        <x:f>C9+D9</x:f>
        <x:v>12</x:v>
      </x:c>
      <x:c r="H9" s="5" t="n">
        <x:f>IFERROR(C9/G9,"")</x:f>
        <x:v>0.6666666666666666</x:v>
      </x:c>
      <x:c r="I9" s="6" t="n">
        <x:f>E9+F9</x:f>
        <x:v>46</x:v>
      </x:c>
      <x:c r="J9" s="5" t="n">
        <x:f>IFERROR(E9/I9,"")</x:f>
        <x:v>0.15217391304347827</x:v>
      </x:c>
      <x:c r="K9" s="5" t="n">
        <x:f>H9-J9</x:f>
        <x:v>0.5144927536231884</x:v>
      </x:c>
      <x:c r="L9" s="7" t="n">
        <x:f>IFERROR(H9/J9,"")</x:f>
        <x:v>4.3809523809523805</x:v>
      </x:c>
      <x:c r="M9" s="7" t="n">
        <x:f>IFERROR((C9*F9)/(D9*E9),"")</x:f>
        <x:v>11.142857142857142</x:v>
      </x:c>
      <x:c r="N9" s="7" t="n">
        <x:f>IFERROR(EXP(LN(M9)-1.96*SQRT(1/C9+1/D9+1/E9+1/F9)),"")</x:f>
        <x:v>2.6269961459688895</x:v>
      </x:c>
      <x:c r="O9" s="7" t="n">
        <x:f>IFERROR(EXP(LN(M9)+1.96*SQRT(1/C9+1/D9+1/E9+1/F9)),"")</x:f>
        <x:v>47.26435000548068</x:v>
      </x:c>
      <x:c r="P9" s="8" t="n">
        <x:v>0.0009628682789630275</x:v>
      </x:c>
      <x:c r="Q9" s="8" t="n">
        <x:v>0.05419089721682214</x:v>
      </x:c>
      <x:c r="R9" s="9" t="str">
        <x:v>통계적 후보이며 임상적 검토 필요.</x:v>
      </x:c>
      <x:c r="S9" t="str">
        <x:v>탐색</x:v>
      </x:c>
    </x:row>
    <x:row r="10" ht="36" customHeight="1">
      <x:c r="A10" t="str">
        <x:v>Medial OA</x:v>
      </x:c>
      <x:c r="B10" t="str">
        <x:v>Medial Meniscus</x:v>
      </x:c>
      <x:c r="C10" t="n">
        <x:v>12</x:v>
      </x:c>
      <x:c r="D10" t="n">
        <x:v>3</x:v>
      </x:c>
      <x:c r="E10" t="n">
        <x:v>14</x:v>
      </x:c>
      <x:c r="F10" t="n">
        <x:v>29</x:v>
      </x:c>
      <x:c r="G10" t="n">
        <x:f>C10+D10</x:f>
        <x:v>15</x:v>
      </x:c>
      <x:c r="H10" s="5" t="n">
        <x:f>IFERROR(C10/G10,"")</x:f>
        <x:v>0.8</x:v>
      </x:c>
      <x:c r="I10" s="6" t="n">
        <x:f>E10+F10</x:f>
        <x:v>43</x:v>
      </x:c>
      <x:c r="J10" s="5" t="n">
        <x:f>IFERROR(E10/I10,"")</x:f>
        <x:v>0.32558139534883723</x:v>
      </x:c>
      <x:c r="K10" s="5" t="n">
        <x:f>H10-J10</x:f>
        <x:v>0.4744186046511628</x:v>
      </x:c>
      <x:c r="L10" s="7" t="n">
        <x:f>IFERROR(H10/J10,"")</x:f>
        <x:v>2.4571428571428573</x:v>
      </x:c>
      <x:c r="M10" s="7" t="n">
        <x:f>IFERROR((C10*F10)/(D10*E10),"")</x:f>
        <x:v>8.285714285714286</x:v>
      </x:c>
      <x:c r="N10" s="7" t="n">
        <x:f>IFERROR(EXP(LN(M10)-1.96*SQRT(1/C10+1/D10+1/E10+1/F10)),"")</x:f>
        <x:v>2.0090411243676183</x:v>
      </x:c>
      <x:c r="O10" s="7" t="n">
        <x:f>IFERROR(EXP(LN(M10)+1.96*SQRT(1/C10+1/D10+1/E10+1/F10)),"")</x:f>
        <x:v>34.17205371846214</x:v>
      </x:c>
      <x:c r="P10" s="8" t="n">
        <x:v>0.002225037552215381</x:v>
      </x:c>
      <x:c r="Q10" s="8" t="n">
        <x:v>0.05419089721682214</x:v>
      </x:c>
      <x:c r="R10" s="9" t="str">
        <x:v>통계적 후보이며 임상적 검토 필요.</x:v>
      </x:c>
      <x:c r="S10" t="str">
        <x:v>탐색</x:v>
      </x:c>
    </x:row>
    <x:row r="11" ht="36" customHeight="1">
      <x:c r="A11" t="str">
        <x:v>Medial OA</x:v>
      </x:c>
      <x:c r="B11" t="str">
        <x:v>Lateral Meniscus</x:v>
      </x:c>
      <x:c r="C11" t="n">
        <x:v>11</x:v>
      </x:c>
      <x:c r="D11" t="n">
        <x:v>4</x:v>
      </x:c>
      <x:c r="E11" t="n">
        <x:v>12</x:v>
      </x:c>
      <x:c r="F11" t="n">
        <x:v>31</x:v>
      </x:c>
      <x:c r="G11" t="n">
        <x:f>C11+D11</x:f>
        <x:v>15</x:v>
      </x:c>
      <x:c r="H11" s="5" t="n">
        <x:f>IFERROR(C11/G11,"")</x:f>
        <x:v>0.7333333333333333</x:v>
      </x:c>
      <x:c r="I11" s="6" t="n">
        <x:f>E11+F11</x:f>
        <x:v>43</x:v>
      </x:c>
      <x:c r="J11" s="5" t="n">
        <x:f>IFERROR(E11/I11,"")</x:f>
        <x:v>0.27906976744186046</x:v>
      </x:c>
      <x:c r="K11" s="5" t="n">
        <x:f>H11-J11</x:f>
        <x:v>0.4542635658914728</x:v>
      </x:c>
      <x:c r="L11" s="7" t="n">
        <x:f>IFERROR(H11/J11,"")</x:f>
        <x:v>2.6277777777777778</x:v>
      </x:c>
      <x:c r="M11" s="7" t="n">
        <x:f>IFERROR((C11*F11)/(D11*E11),"")</x:f>
        <x:v>7.104166666666667</x:v>
      </x:c>
      <x:c r="N11" s="7" t="n">
        <x:f>IFERROR(EXP(LN(M11)-1.96*SQRT(1/C11+1/D11+1/E11+1/F11)),"")</x:f>
        <x:v>1.889686602261972</x:v>
      </x:c>
      <x:c r="O11" s="7" t="n">
        <x:f>IFERROR(EXP(LN(M11)+1.96*SQRT(1/C11+1/D11+1/E11+1/F11)),"")</x:f>
        <x:v>26.70770061414718</x:v>
      </x:c>
      <x:c r="P11" s="8" t="n">
        <x:v>0.004603323903366641</x:v>
      </x:c>
      <x:c r="Q11" s="8" t="n">
        <x:v>0.05419089721682214</x:v>
      </x:c>
      <x:c r="R11" s="9" t="str">
        <x:v>통계적 후보이며 임상적 검토 필요.</x:v>
      </x:c>
      <x:c r="S11" t="str">
        <x:v>탐색</x:v>
      </x:c>
    </x:row>
    <x:row r="12" ht="36" customHeight="1">
      <x:c r="A12" t="str">
        <x:v>Medial OA</x:v>
      </x:c>
      <x:c r="B12" t="str">
        <x:v>Baker's</x:v>
      </x:c>
      <x:c r="C12" t="n">
        <x:v>8</x:v>
      </x:c>
      <x:c r="D12" t="n">
        <x:v>7</x:v>
      </x:c>
      <x:c r="E12" t="n">
        <x:v>4</x:v>
      </x:c>
      <x:c r="F12" t="n">
        <x:v>39</x:v>
      </x:c>
      <x:c r="G12" t="n">
        <x:f>C12+D12</x:f>
        <x:v>15</x:v>
      </x:c>
      <x:c r="H12" s="5" t="n">
        <x:f>IFERROR(C12/G12,"")</x:f>
        <x:v>0.5333333333333333</x:v>
      </x:c>
      <x:c r="I12" s="6" t="n">
        <x:f>E12+F12</x:f>
        <x:v>43</x:v>
      </x:c>
      <x:c r="J12" s="5" t="n">
        <x:f>IFERROR(E12/I12,"")</x:f>
        <x:v>0.09302325581395349</x:v>
      </x:c>
      <x:c r="K12" s="5" t="n">
        <x:f>H12-J12</x:f>
        <x:v>0.44031007751937984</x:v>
      </x:c>
      <x:c r="L12" s="7" t="n">
        <x:f>IFERROR(H12/J12,"")</x:f>
        <x:v>5.733333333333333</x:v>
      </x:c>
      <x:c r="M12" s="7" t="n">
        <x:f>IFERROR((C12*F12)/(D12*E12),"")</x:f>
        <x:v>11.142857142857142</x:v>
      </x:c>
      <x:c r="N12" s="7" t="n">
        <x:f>IFERROR(EXP(LN(M12)-1.96*SQRT(1/C12+1/D12+1/E12+1/F12)),"")</x:f>
        <x:v>2.6269961459688895</x:v>
      </x:c>
      <x:c r="O12" s="7" t="n">
        <x:f>IFERROR(EXP(LN(M12)+1.96*SQRT(1/C12+1/D12+1/E12+1/F12)),"")</x:f>
        <x:v>47.26435000548068</x:v>
      </x:c>
      <x:c r="P12" s="8" t="n">
        <x:v>0.0009628682789630275</x:v>
      </x:c>
      <x:c r="Q12" s="8" t="n">
        <x:v>0.05419089721682214</x:v>
      </x:c>
      <x:c r="R12" s="9" t="str">
        <x:v>통계적 후보이며 임상적 검토 필요.</x:v>
      </x:c>
      <x:c r="S12" t="str">
        <x:v>탐색</x:v>
      </x:c>
    </x:row>
    <x:row r="13" ht="36" customHeight="1">
      <x:c r="A13" t="str">
        <x:v>Lateral OA</x:v>
      </x:c>
      <x:c r="B13" t="str">
        <x:v>Synovitis</x:v>
      </x:c>
      <x:c r="C13" t="n">
        <x:v>9</x:v>
      </x:c>
      <x:c r="D13" t="n">
        <x:v>2</x:v>
      </x:c>
      <x:c r="E13" t="n">
        <x:v>18</x:v>
      </x:c>
      <x:c r="F13" t="n">
        <x:v>29</x:v>
      </x:c>
      <x:c r="G13" t="n">
        <x:f>C13+D13</x:f>
        <x:v>11</x:v>
      </x:c>
      <x:c r="H13" s="5" t="n">
        <x:f>IFERROR(C13/G13,"")</x:f>
        <x:v>0.8181818181818182</x:v>
      </x:c>
      <x:c r="I13" s="6" t="n">
        <x:f>E13+F13</x:f>
        <x:v>47</x:v>
      </x:c>
      <x:c r="J13" s="5" t="n">
        <x:f>IFERROR(E13/I13,"")</x:f>
        <x:v>0.3829787234042553</x:v>
      </x:c>
      <x:c r="K13" s="5" t="n">
        <x:f>H13-J13</x:f>
        <x:v>0.4352030947775629</x:v>
      </x:c>
      <x:c r="L13" s="7" t="n">
        <x:f>IFERROR(H13/J13,"")</x:f>
        <x:v>2.1363636363636367</x:v>
      </x:c>
      <x:c r="M13" s="7" t="n">
        <x:f>IFERROR((C13*F13)/(D13*E13),"")</x:f>
        <x:v>7.25</x:v>
      </x:c>
      <x:c r="N13" s="7" t="n">
        <x:f>IFERROR(EXP(LN(M13)-1.96*SQRT(1/C13+1/D13+1/E13+1/F13)),"")</x:f>
        <x:v>1.4046694660482473</x:v>
      </x:c>
      <x:c r="O13" s="7" t="n">
        <x:f>IFERROR(EXP(LN(M13)+1.96*SQRT(1/C13+1/D13+1/E13+1/F13)),"")</x:f>
        <x:v>37.419835249835636</x:v>
      </x:c>
      <x:c r="P13" s="8" t="n">
        <x:v>0.016408624025578432</x:v>
      </x:c>
      <x:c r="Q13" s="8" t="n">
        <x:v>0.10745647339762526</x:v>
      </x:c>
      <x:c r="R13" s="9" t="str">
        <x:v>통계적 후보이며 임상적 검토 필요.</x:v>
      </x:c>
      <x:c r="S13" t="str">
        <x:v>탐색</x:v>
      </x:c>
    </x:row>
    <x:row r="14" ht="36" customHeight="1">
      <x:c r="A14" t="str">
        <x:v>Lateral OA</x:v>
      </x:c>
      <x:c r="B14" t="str">
        <x:v>Baker's</x:v>
      </x:c>
      <x:c r="C14" t="n">
        <x:v>6</x:v>
      </x:c>
      <x:c r="D14" t="n">
        <x:v>5</x:v>
      </x:c>
      <x:c r="E14" t="n">
        <x:v>6</x:v>
      </x:c>
      <x:c r="F14" t="n">
        <x:v>41</x:v>
      </x:c>
      <x:c r="G14" t="n">
        <x:f>C14+D14</x:f>
        <x:v>11</x:v>
      </x:c>
      <x:c r="H14" s="5" t="n">
        <x:f>IFERROR(C14/G14,"")</x:f>
        <x:v>0.5454545454545454</x:v>
      </x:c>
      <x:c r="I14" s="6" t="n">
        <x:f>E14+F14</x:f>
        <x:v>47</x:v>
      </x:c>
      <x:c r="J14" s="5" t="n">
        <x:f>IFERROR(E14/I14,"")</x:f>
        <x:v>0.1276595744680851</x:v>
      </x:c>
      <x:c r="K14" s="5" t="n">
        <x:f>H14-J14</x:f>
        <x:v>0.41779497098646035</x:v>
      </x:c>
      <x:c r="L14" s="7" t="n">
        <x:f>IFERROR(H14/J14,"")</x:f>
        <x:v>4.2727272727272725</x:v>
      </x:c>
      <x:c r="M14" s="7" t="n">
        <x:f>IFERROR((C14*F14)/(D14*E14),"")</x:f>
        <x:v>8.2</x:v>
      </x:c>
      <x:c r="N14" s="7" t="n">
        <x:f>IFERROR(EXP(LN(M14)-1.96*SQRT(1/C14+1/D14+1/E14+1/F14)),"")</x:f>
        <x:v>1.897218094359908</x:v>
      </x:c>
      <x:c r="O14" s="7" t="n">
        <x:f>IFERROR(EXP(LN(M14)+1.96*SQRT(1/C14+1/D14+1/E14+1/F14)),"")</x:f>
        <x:v>35.4413655445795</x:v>
      </x:c>
      <x:c r="P14" s="8" t="n">
        <x:v>0.006164302202380462</x:v>
      </x:c>
      <x:c r="Q14" s="8" t="n">
        <x:v>0.05812056362244435</x:v>
      </x:c>
      <x:c r="R14" s="9" t="str">
        <x:v>통계적 후보이며 임상적 검토 필요.</x:v>
      </x:c>
      <x:c r="S14" t="str">
        <x:v>탐색</x:v>
      </x:c>
    </x:row>
    <x:row r="15" ht="36" customHeight="1">
      <x:c r="A15" t="str">
        <x:v>Contusion</x:v>
      </x:c>
      <x:c r="B15" t="str">
        <x:v>ACL</x:v>
      </x:c>
      <x:c r="C15" t="n">
        <x:v>13</x:v>
      </x:c>
      <x:c r="D15" t="n">
        <x:v>6</x:v>
      </x:c>
      <x:c r="E15" t="n">
        <x:v>11</x:v>
      </x:c>
      <x:c r="F15" t="n">
        <x:v>28</x:v>
      </x:c>
      <x:c r="G15" t="n">
        <x:f>C15+D15</x:f>
        <x:v>19</x:v>
      </x:c>
      <x:c r="H15" s="5" t="n">
        <x:f>IFERROR(C15/G15,"")</x:f>
        <x:v>0.6842105263157895</x:v>
      </x:c>
      <x:c r="I15" s="6" t="n">
        <x:f>E15+F15</x:f>
        <x:v>39</x:v>
      </x:c>
      <x:c r="J15" s="5" t="n">
        <x:f>IFERROR(E15/I15,"")</x:f>
        <x:v>0.28205128205128205</x:v>
      </x:c>
      <x:c r="K15" s="5" t="n">
        <x:f>H15-J15</x:f>
        <x:v>0.40215924426450744</x:v>
      </x:c>
      <x:c r="L15" s="7" t="n">
        <x:f>IFERROR(H15/J15,"")</x:f>
        <x:v>2.425837320574163</x:v>
      </x:c>
      <x:c r="M15" s="7" t="n">
        <x:f>IFERROR((C15*F15)/(D15*E15),"")</x:f>
        <x:v>5.515151515151516</x:v>
      </x:c>
      <x:c r="N15" s="7" t="n">
        <x:f>IFERROR(EXP(LN(M15)-1.96*SQRT(1/C15+1/D15+1/E15+1/F15)),"")</x:f>
        <x:v>1.673528646062823</x:v>
      </x:c>
      <x:c r="O15" s="7" t="n">
        <x:f>IFERROR(EXP(LN(M15)+1.96*SQRT(1/C15+1/D15+1/E15+1/F15)),"")</x:f>
        <x:v>18.17530659342907</x:v>
      </x:c>
      <x:c r="P15" s="8" t="n">
        <x:v>0.004926445201529285</x:v>
      </x:c>
      <x:c r="Q15" s="8" t="n">
        <x:v>0.05419089721682214</x:v>
      </x:c>
      <x:c r="R15" s="9" t="str">
        <x:v>통계적 후보이며 임상적 검토 필요.</x:v>
      </x:c>
      <x:c r="S15" t="str">
        <x:v>탐색</x:v>
      </x:c>
    </x:row>
    <x:row r="16" ht="36" customHeight="1">
      <x:c r="A16" t="str">
        <x:v>Synovitis</x:v>
      </x:c>
      <x:c r="B16" t="str">
        <x:v>Effusion</x:v>
      </x:c>
      <x:c r="C16" t="n">
        <x:v>22</x:v>
      </x:c>
      <x:c r="D16" t="n">
        <x:v>5</x:v>
      </x:c>
      <x:c r="E16" t="n">
        <x:v>13</x:v>
      </x:c>
      <x:c r="F16" t="n">
        <x:v>18</x:v>
      </x:c>
      <x:c r="G16" t="n">
        <x:f>C16+D16</x:f>
        <x:v>27</x:v>
      </x:c>
      <x:c r="H16" s="5" t="n">
        <x:f>IFERROR(C16/G16,"")</x:f>
        <x:v>0.8148148148148148</x:v>
      </x:c>
      <x:c r="I16" s="6" t="n">
        <x:f>E16+F16</x:f>
        <x:v>31</x:v>
      </x:c>
      <x:c r="J16" s="5" t="n">
        <x:f>IFERROR(E16/I16,"")</x:f>
        <x:v>0.41935483870967744</x:v>
      </x:c>
      <x:c r="K16" s="5" t="n">
        <x:f>H16-J16</x:f>
        <x:v>0.39545997610513733</x:v>
      </x:c>
      <x:c r="L16" s="7" t="n">
        <x:f>IFERROR(H16/J16,"")</x:f>
        <x:v>1.9430199430199429</x:v>
      </x:c>
      <x:c r="M16" s="7" t="n">
        <x:f>IFERROR((C16*F16)/(D16*E16),"")</x:f>
        <x:v>6.092307692307692</x:v>
      </x:c>
      <x:c r="N16" s="7" t="n">
        <x:f>IFERROR(EXP(LN(M16)-1.96*SQRT(1/C16+1/D16+1/E16+1/F16)),"")</x:f>
        <x:v>1.8259347512373374</x:v>
      </x:c>
      <x:c r="O16" s="7" t="n">
        <x:f>IFERROR(EXP(LN(M16)+1.96*SQRT(1/C16+1/D16+1/E16+1/F16)),"")</x:f>
        <x:v>20.327239509845473</x:v>
      </x:c>
      <x:c r="P16" s="8" t="n">
        <x:v>0.0030085675678955034</x:v>
      </x:c>
      <x:c r="Q16" s="8" t="n">
        <x:v>0.05419089721682214</x:v>
      </x:c>
      <x:c r="R16" s="9" t="str">
        <x:v>통계적 후보이며 임상적 검토 필요.</x:v>
      </x:c>
      <x:c r="S16" t="str">
        <x:v>탐색</x:v>
      </x:c>
    </x:row>
    <x:row r="17" ht="36" customHeight="1">
      <x:c r="A17" t="str">
        <x:v>Baker's</x:v>
      </x:c>
      <x:c r="B17" t="str">
        <x:v>Lateral OA</x:v>
      </x:c>
      <x:c r="C17" t="n">
        <x:v>6</x:v>
      </x:c>
      <x:c r="D17" t="n">
        <x:v>6</x:v>
      </x:c>
      <x:c r="E17" t="n">
        <x:v>5</x:v>
      </x:c>
      <x:c r="F17" t="n">
        <x:v>41</x:v>
      </x:c>
      <x:c r="G17" t="n">
        <x:f>C17+D17</x:f>
        <x:v>12</x:v>
      </x:c>
      <x:c r="H17" s="5" t="n">
        <x:f>IFERROR(C17/G17,"")</x:f>
        <x:v>0.5</x:v>
      </x:c>
      <x:c r="I17" s="6" t="n">
        <x:f>E17+F17</x:f>
        <x:v>46</x:v>
      </x:c>
      <x:c r="J17" s="5" t="n">
        <x:f>IFERROR(E17/I17,"")</x:f>
        <x:v>0.10869565217391304</x:v>
      </x:c>
      <x:c r="K17" s="5" t="n">
        <x:f>H17-J17</x:f>
        <x:v>0.391304347826087</x:v>
      </x:c>
      <x:c r="L17" s="7" t="n">
        <x:f>IFERROR(H17/J17,"")</x:f>
        <x:v>4.6000000000000005</x:v>
      </x:c>
      <x:c r="M17" s="7" t="n">
        <x:f>IFERROR((C17*F17)/(D17*E17),"")</x:f>
        <x:v>8.2</x:v>
      </x:c>
      <x:c r="N17" s="7" t="n">
        <x:f>IFERROR(EXP(LN(M17)-1.96*SQRT(1/C17+1/D17+1/E17+1/F17)),"")</x:f>
        <x:v>1.897218094359908</x:v>
      </x:c>
      <x:c r="O17" s="7" t="n">
        <x:f>IFERROR(EXP(LN(M17)+1.96*SQRT(1/C17+1/D17+1/E17+1/F17)),"")</x:f>
        <x:v>35.4413655445795</x:v>
      </x:c>
      <x:c r="P17" s="8" t="n">
        <x:v>0.006164302202380462</x:v>
      </x:c>
      <x:c r="Q17" s="8" t="n">
        <x:v>0.05812056362244435</x:v>
      </x:c>
      <x:c r="R17" s="9" t="str">
        <x:v>통계적 후보이며 임상적 검토 필요.</x:v>
      </x:c>
      <x:c r="S17" t="str">
        <x:v>탐색</x:v>
      </x:c>
    </x:row>
    <x:row r="18" ht="36" customHeight="1">
      <x:c r="A18" t="str">
        <x:v>Baker's</x:v>
      </x:c>
      <x:c r="B18" t="str">
        <x:v>Medial Meniscus</x:v>
      </x:c>
      <x:c r="C18" t="n">
        <x:v>9</x:v>
      </x:c>
      <x:c r="D18" t="n">
        <x:v>3</x:v>
      </x:c>
      <x:c r="E18" t="n">
        <x:v>17</x:v>
      </x:c>
      <x:c r="F18" t="n">
        <x:v>29</x:v>
      </x:c>
      <x:c r="G18" t="n">
        <x:f>C18+D18</x:f>
        <x:v>12</x:v>
      </x:c>
      <x:c r="H18" s="5" t="n">
        <x:f>IFERROR(C18/G18,"")</x:f>
        <x:v>0.75</x:v>
      </x:c>
      <x:c r="I18" s="6" t="n">
        <x:f>E18+F18</x:f>
        <x:v>46</x:v>
      </x:c>
      <x:c r="J18" s="5" t="n">
        <x:f>IFERROR(E18/I18,"")</x:f>
        <x:v>0.3695652173913043</x:v>
      </x:c>
      <x:c r="K18" s="5" t="n">
        <x:f>H18-J18</x:f>
        <x:v>0.3804347826086957</x:v>
      </x:c>
      <x:c r="L18" s="7" t="n">
        <x:f>IFERROR(H18/J18,"")</x:f>
        <x:v>2.0294117647058827</x:v>
      </x:c>
      <x:c r="M18" s="7" t="n">
        <x:f>IFERROR((C18*F18)/(D18*E18),"")</x:f>
        <x:v>5.117647058823529</x:v>
      </x:c>
      <x:c r="N18" s="7" t="n">
        <x:f>IFERROR(EXP(LN(M18)-1.96*SQRT(1/C18+1/D18+1/E18+1/F18)),"")</x:f>
        <x:v>1.2157942708521643</x:v>
      </x:c>
      <x:c r="O18" s="7" t="n">
        <x:f>IFERROR(EXP(LN(M18)+1.96*SQRT(1/C18+1/D18+1/E18+1/F18)),"")</x:f>
        <x:v>21.541729589108876</x:v>
      </x:c>
      <x:c r="P18" s="8" t="n">
        <x:v>0.024635390296751093</x:v>
      </x:c>
      <x:c r="Q18" s="8" t="n">
        <x:v>0.12700565537260383</x:v>
      </x:c>
      <x:c r="R18" s="9" t="str">
        <x:v>통계적 후보이며 임상적 검토 필요.</x:v>
      </x:c>
      <x:c r="S18" t="str">
        <x:v>탐색</x:v>
      </x:c>
    </x:row>
    <x:row r="19" ht="36" customHeight="1">
      <x:c r="A19" t="str">
        <x:v>Lateral Meniscus</x:v>
      </x:c>
      <x:c r="B19" t="str">
        <x:v>Medial OA</x:v>
      </x:c>
      <x:c r="C19" t="n">
        <x:v>11</x:v>
      </x:c>
      <x:c r="D19" t="n">
        <x:v>12</x:v>
      </x:c>
      <x:c r="E19" t="n">
        <x:v>4</x:v>
      </x:c>
      <x:c r="F19" t="n">
        <x:v>31</x:v>
      </x:c>
      <x:c r="G19" t="n">
        <x:f>C19+D19</x:f>
        <x:v>23</x:v>
      </x:c>
      <x:c r="H19" s="5" t="n">
        <x:f>IFERROR(C19/G19,"")</x:f>
        <x:v>0.4782608695652174</x:v>
      </x:c>
      <x:c r="I19" s="6" t="n">
        <x:f>E19+F19</x:f>
        <x:v>35</x:v>
      </x:c>
      <x:c r="J19" s="5" t="n">
        <x:f>IFERROR(E19/I19,"")</x:f>
        <x:v>0.11428571428571428</x:v>
      </x:c>
      <x:c r="K19" s="5" t="n">
        <x:f>H19-J19</x:f>
        <x:v>0.36397515527950314</x:v>
      </x:c>
      <x:c r="L19" s="7" t="n">
        <x:f>IFERROR(H19/J19,"")</x:f>
        <x:v>4.184782608695652</x:v>
      </x:c>
      <x:c r="M19" s="7" t="n">
        <x:f>IFERROR((C19*F19)/(D19*E19),"")</x:f>
        <x:v>7.104166666666667</x:v>
      </x:c>
      <x:c r="N19" s="7" t="n">
        <x:f>IFERROR(EXP(LN(M19)-1.96*SQRT(1/C19+1/D19+1/E19+1/F19)),"")</x:f>
        <x:v>1.889686602261972</x:v>
      </x:c>
      <x:c r="O19" s="7" t="n">
        <x:f>IFERROR(EXP(LN(M19)+1.96*SQRT(1/C19+1/D19+1/E19+1/F19)),"")</x:f>
        <x:v>26.70770061414718</x:v>
      </x:c>
      <x:c r="P19" s="8" t="n">
        <x:v>0.004603323903366641</x:v>
      </x:c>
      <x:c r="Q19" s="8" t="n">
        <x:v>0.05419089721682214</x:v>
      </x:c>
      <x:c r="R19" s="9" t="str">
        <x:v>통계적 후보이며 임상적 검토 필요.</x:v>
      </x:c>
      <x:c r="S19" t="str">
        <x:v>탐색</x:v>
      </x:c>
    </x:row>
    <x:row r="20" ht="36" customHeight="1">
      <x:c r="A20" t="str">
        <x:v>Lateral OA</x:v>
      </x:c>
      <x:c r="B20" t="str">
        <x:v>Medial OA</x:v>
      </x:c>
      <x:c r="C20" t="n">
        <x:v>6</x:v>
      </x:c>
      <x:c r="D20" t="n">
        <x:v>5</x:v>
      </x:c>
      <x:c r="E20" t="n">
        <x:v>9</x:v>
      </x:c>
      <x:c r="F20" t="n">
        <x:v>38</x:v>
      </x:c>
      <x:c r="G20" t="n">
        <x:f>C20+D20</x:f>
        <x:v>11</x:v>
      </x:c>
      <x:c r="H20" s="5" t="n">
        <x:f>IFERROR(C20/G20,"")</x:f>
        <x:v>0.5454545454545454</x:v>
      </x:c>
      <x:c r="I20" s="6" t="n">
        <x:f>E20+F20</x:f>
        <x:v>47</x:v>
      </x:c>
      <x:c r="J20" s="5" t="n">
        <x:f>IFERROR(E20/I20,"")</x:f>
        <x:v>0.19148936170212766</x:v>
      </x:c>
      <x:c r="K20" s="5" t="n">
        <x:f>H20-J20</x:f>
        <x:v>0.35396518375241776</x:v>
      </x:c>
      <x:c r="L20" s="7" t="n">
        <x:f>IFERROR(H20/J20,"")</x:f>
        <x:v>2.848484848484848</x:v>
      </x:c>
      <x:c r="M20" s="7" t="n">
        <x:f>IFERROR((C20*F20)/(D20*E20),"")</x:f>
        <x:v>5.066666666666666</x:v>
      </x:c>
      <x:c r="N20" s="7" t="n">
        <x:f>IFERROR(EXP(LN(M20)-1.96*SQRT(1/C20+1/D20+1/E20+1/F20)),"")</x:f>
        <x:v>1.2599751747847097</x:v>
      </x:c>
      <x:c r="O20" s="7" t="n">
        <x:f>IFERROR(EXP(LN(M20)+1.96*SQRT(1/C20+1/D20+1/E20+1/F20)),"")</x:f>
        <x:v>20.37429913291545</x:v>
      </x:c>
      <x:c r="P20" s="8" t="n">
        <x:v>0.025016265452179547</x:v>
      </x:c>
      <x:c r="Q20" s="8" t="n">
        <x:v>0.12700565537260383</x:v>
      </x:c>
      <x:c r="R20" s="9" t="str">
        <x:v>통계적 후보이며 임상적 검토 필요.</x:v>
      </x:c>
      <x:c r="S20" t="str">
        <x:v>탐색</x:v>
      </x:c>
    </x:row>
    <x:row r="21" ht="36" customHeight="1">
      <x:c r="A21" t="str">
        <x:v>Medial OA</x:v>
      </x:c>
      <x:c r="B21" t="str">
        <x:v>Contusion</x:v>
      </x:c>
      <x:c r="C21" t="n">
        <x:v>1</x:v>
      </x:c>
      <x:c r="D21" t="n">
        <x:v>14</x:v>
      </x:c>
      <x:c r="E21" t="n">
        <x:v>18</x:v>
      </x:c>
      <x:c r="F21" t="n">
        <x:v>25</x:v>
      </x:c>
      <x:c r="G21" t="n">
        <x:f>C21+D21</x:f>
        <x:v>15</x:v>
      </x:c>
      <x:c r="H21" s="5" t="n">
        <x:f>IFERROR(C21/G21,"")</x:f>
        <x:v>0.06666666666666667</x:v>
      </x:c>
      <x:c r="I21" s="6" t="n">
        <x:f>E21+F21</x:f>
        <x:v>43</x:v>
      </x:c>
      <x:c r="J21" s="5" t="n">
        <x:f>IFERROR(E21/I21,"")</x:f>
        <x:v>0.4186046511627907</x:v>
      </x:c>
      <x:c r="K21" s="5" t="n">
        <x:f>H21-J21</x:f>
        <x:v>-0.35193798449612407</x:v>
      </x:c>
      <x:c r="L21" s="7" t="n">
        <x:f>IFERROR(H21/J21,"")</x:f>
        <x:v>0.15925925925925924</x:v>
      </x:c>
      <x:c r="M21" s="7" t="n">
        <x:f>IFERROR((C21*F21)/(D21*E21),"")</x:f>
        <x:v>0.0992063492063492</x:v>
      </x:c>
      <x:c r="N21" s="7" t="n">
        <x:f>IFERROR(EXP(LN(M21)-1.96*SQRT(1/C21+1/D21+1/E21+1/F21)),"")</x:f>
        <x:v>0.011939736529685442</x:v>
      </x:c>
      <x:c r="O21" s="7" t="n">
        <x:f>IFERROR(EXP(LN(M21)+1.96*SQRT(1/C21+1/D21+1/E21+1/F21)),"")</x:f>
        <x:v>0.8242978978960257</x:v>
      </x:c>
      <x:c r="P21" s="8" t="n">
        <x:v>0.012490711090257164</x:v>
      </x:c>
      <x:c r="Q21" s="8" t="n">
        <x:v>0.09159854799521921</x:v>
      </x:c>
      <x:c r="R21" s="9" t="str">
        <x:v>통계적 후보이며 임상적 검토 필요.</x:v>
      </x:c>
      <x:c r="S21" t="str">
        <x:v>탐색</x:v>
      </x:c>
    </x:row>
    <x:row r="22" ht="36" customHeight="1">
      <x:c r="A22" t="str">
        <x:v>PF OA</x:v>
      </x:c>
      <x:c r="B22" t="str">
        <x:v>Medial OA</x:v>
      </x:c>
      <x:c r="C22" t="n">
        <x:v>10</x:v>
      </x:c>
      <x:c r="D22" t="n">
        <x:v>11</x:v>
      </x:c>
      <x:c r="E22" t="n">
        <x:v>5</x:v>
      </x:c>
      <x:c r="F22" t="n">
        <x:v>32</x:v>
      </x:c>
      <x:c r="G22" t="n">
        <x:f>C22+D22</x:f>
        <x:v>21</x:v>
      </x:c>
      <x:c r="H22" s="5" t="n">
        <x:f>IFERROR(C22/G22,"")</x:f>
        <x:v>0.47619047619047616</x:v>
      </x:c>
      <x:c r="I22" s="6" t="n">
        <x:f>E22+F22</x:f>
        <x:v>37</x:v>
      </x:c>
      <x:c r="J22" s="5" t="n">
        <x:f>IFERROR(E22/I22,"")</x:f>
        <x:v>0.13513513513513514</x:v>
      </x:c>
      <x:c r="K22" s="5" t="n">
        <x:f>H22-J22</x:f>
        <x:v>0.341055341055341</x:v>
      </x:c>
      <x:c r="L22" s="7" t="n">
        <x:f>IFERROR(H22/J22,"")</x:f>
        <x:v>3.5238095238095233</x:v>
      </x:c>
      <x:c r="M22" s="7" t="n">
        <x:f>IFERROR((C22*F22)/(D22*E22),"")</x:f>
        <x:v>5.818181818181818</x:v>
      </x:c>
      <x:c r="N22" s="7" t="n">
        <x:f>IFERROR(EXP(LN(M22)-1.96*SQRT(1/C22+1/D22+1/E22+1/F22)),"")</x:f>
        <x:v>1.6282436202924457</x:v>
      </x:c>
      <x:c r="O22" s="7" t="n">
        <x:f>IFERROR(EXP(LN(M22)+1.96*SQRT(1/C22+1/D22+1/E22+1/F22)),"")</x:f>
        <x:v>20.79003365807232</x:v>
      </x:c>
      <x:c r="P22" s="8" t="n">
        <x:v>0.010657200893976268</x:v>
      </x:c>
      <x:c r="Q22" s="8" t="n">
        <x:v>0.08792190737530421</x:v>
      </x:c>
      <x:c r="R22" s="9" t="str">
        <x:v>통계적 후보이며 임상적 검토 필요.</x:v>
      </x:c>
      <x:c r="S22" t="str">
        <x:v>탐색</x:v>
      </x:c>
    </x:row>
    <x:row r="23" ht="36" customHeight="1">
      <x:c r="A23" t="str">
        <x:v>Baker's</x:v>
      </x:c>
      <x:c r="B23" t="str">
        <x:v>Lateral Meniscus</x:v>
      </x:c>
      <x:c r="C23" t="n">
        <x:v>8</x:v>
      </x:c>
      <x:c r="D23" t="n">
        <x:v>4</x:v>
      </x:c>
      <x:c r="E23" t="n">
        <x:v>15</x:v>
      </x:c>
      <x:c r="F23" t="n">
        <x:v>31</x:v>
      </x:c>
      <x:c r="G23" t="n">
        <x:f>C23+D23</x:f>
        <x:v>12</x:v>
      </x:c>
      <x:c r="H23" s="5" t="n">
        <x:f>IFERROR(C23/G23,"")</x:f>
        <x:v>0.6666666666666666</x:v>
      </x:c>
      <x:c r="I23" s="6" t="n">
        <x:f>E23+F23</x:f>
        <x:v>46</x:v>
      </x:c>
      <x:c r="J23" s="5" t="n">
        <x:f>IFERROR(E23/I23,"")</x:f>
        <x:v>0.32608695652173914</x:v>
      </x:c>
      <x:c r="K23" s="5" t="n">
        <x:f>H23-J23</x:f>
        <x:v>0.3405797101449275</x:v>
      </x:c>
      <x:c r="L23" s="7" t="n">
        <x:f>IFERROR(H23/J23,"")</x:f>
        <x:v>2.0444444444444443</x:v>
      </x:c>
      <x:c r="M23" s="7" t="n">
        <x:f>IFERROR((C23*F23)/(D23*E23),"")</x:f>
        <x:v>4.133333333333334</x:v>
      </x:c>
      <x:c r="N23" s="7" t="n">
        <x:f>IFERROR(EXP(LN(M23)-1.96*SQRT(1/C23+1/D23+1/E23+1/F23)),"")</x:f>
        <x:v>1.0722692886528236</x:v>
      </x:c>
      <x:c r="O23" s="7" t="n">
        <x:f>IFERROR(EXP(LN(M23)+1.96*SQRT(1/C23+1/D23+1/E23+1/F23)),"")</x:f>
        <x:v>15.932979359978669</x:v>
      </x:c>
      <x:c r="P23" s="8" t="n">
        <x:v>0.047299436677822944</x:v>
      </x:c>
      <x:c r="Q23" s="8" t="n">
        <x:v>0.1922477805238194</x:v>
      </x:c>
      <x:c r="R23" s="9" t="str">
        <x:v>통계적 후보이며 임상적 검토 필요.</x:v>
      </x:c>
      <x:c r="S23" t="str">
        <x:v>탐색</x:v>
      </x:c>
    </x:row>
    <x:row r="24" ht="36" customHeight="1">
      <x:c r="A24" t="str">
        <x:v>Lateral OA</x:v>
      </x:c>
      <x:c r="B24" t="str">
        <x:v>PF OA</x:v>
      </x:c>
      <x:c r="C24" t="n">
        <x:v>7</x:v>
      </x:c>
      <x:c r="D24" t="n">
        <x:v>4</x:v>
      </x:c>
      <x:c r="E24" t="n">
        <x:v>14</x:v>
      </x:c>
      <x:c r="F24" t="n">
        <x:v>33</x:v>
      </x:c>
      <x:c r="G24" t="n">
        <x:f>C24+D24</x:f>
        <x:v>11</x:v>
      </x:c>
      <x:c r="H24" s="5" t="n">
        <x:f>IFERROR(C24/G24,"")</x:f>
        <x:v>0.6363636363636364</x:v>
      </x:c>
      <x:c r="I24" s="6" t="n">
        <x:f>E24+F24</x:f>
        <x:v>47</x:v>
      </x:c>
      <x:c r="J24" s="5" t="n">
        <x:f>IFERROR(E24/I24,"")</x:f>
        <x:v>0.2978723404255319</x:v>
      </x:c>
      <x:c r="K24" s="5" t="n">
        <x:f>H24-J24</x:f>
        <x:v>0.33849129593810445</x:v>
      </x:c>
      <x:c r="L24" s="7" t="n">
        <x:f>IFERROR(H24/J24,"")</x:f>
        <x:v>2.1363636363636362</x:v>
      </x:c>
      <x:c r="M24" s="7" t="n">
        <x:f>IFERROR((C24*F24)/(D24*E24),"")</x:f>
        <x:v>4.125</x:v>
      </x:c>
      <x:c r="N24" s="7" t="n">
        <x:f>IFERROR(EXP(LN(M24)-1.96*SQRT(1/C24+1/D24+1/E24+1/F24)),"")</x:f>
        <x:v>1.0394136413483541</x:v>
      </x:c>
      <x:c r="O24" s="7" t="n">
        <x:f>IFERROR(EXP(LN(M24)+1.96*SQRT(1/C24+1/D24+1/E24+1/F24)),"")</x:f>
        <x:v>16.370407625136508</x:v>
      </x:c>
      <x:c r="P24" s="8" t="n">
        <x:v>0.07747260900361601</x:v>
      </x:c>
      <x:c r="Q24" s="8" t="n">
        <x:v>0.23520086318026903</x:v>
      </x:c>
      <x:c r="R24" s="9" t="str">
        <x:v>통계적 후보이며 임상적 검토 필요.</x:v>
      </x:c>
      <x:c r="S24" t="str">
        <x:v>탐색</x:v>
      </x:c>
    </x:row>
    <x:row r="25" ht="36" customHeight="1">
      <x:c r="A25" t="str">
        <x:v>Contusion</x:v>
      </x:c>
      <x:c r="B25" t="str">
        <x:v>Fracture</x:v>
      </x:c>
      <x:c r="C25" t="n">
        <x:v>10</x:v>
      </x:c>
      <x:c r="D25" t="n">
        <x:v>9</x:v>
      </x:c>
      <x:c r="E25" t="n">
        <x:v>8</x:v>
      </x:c>
      <x:c r="F25" t="n">
        <x:v>31</x:v>
      </x:c>
      <x:c r="G25" t="n">
        <x:f>C25+D25</x:f>
        <x:v>19</x:v>
      </x:c>
      <x:c r="H25" s="5" t="n">
        <x:f>IFERROR(C25/G25,"")</x:f>
        <x:v>0.5263157894736842</x:v>
      </x:c>
      <x:c r="I25" s="6" t="n">
        <x:f>E25+F25</x:f>
        <x:v>39</x:v>
      </x:c>
      <x:c r="J25" s="5" t="n">
        <x:f>IFERROR(E25/I25,"")</x:f>
        <x:v>0.20512820512820512</x:v>
      </x:c>
      <x:c r="K25" s="5" t="n">
        <x:f>H25-J25</x:f>
        <x:v>0.32118758434547906</x:v>
      </x:c>
      <x:c r="L25" s="7" t="n">
        <x:f>IFERROR(H25/J25,"")</x:f>
        <x:v>2.5657894736842106</x:v>
      </x:c>
      <x:c r="M25" s="7" t="n">
        <x:f>IFERROR((C25*F25)/(D25*E25),"")</x:f>
        <x:v>4.305555555555555</x:v>
      </x:c>
      <x:c r="N25" s="7" t="n">
        <x:f>IFERROR(EXP(LN(M25)-1.96*SQRT(1/C25+1/D25+1/E25+1/F25)),"")</x:f>
        <x:v>1.3103772353786196</x:v>
      </x:c>
      <x:c r="O25" s="7" t="n">
        <x:f>IFERROR(EXP(LN(M25)+1.96*SQRT(1/C25+1/D25+1/E25+1/F25)),"")</x:f>
        <x:v>14.146925130776562</x:v>
      </x:c>
      <x:c r="P25" s="8" t="n">
        <x:v>0.017909412232937544</x:v>
      </x:c>
      <x:c r="Q25" s="8" t="n">
        <x:v>0.10745647339762526</x:v>
      </x:c>
      <x:c r="R25" s="9" t="str">
        <x:v>통계적 후보이며 임상적 검토 필요.</x:v>
      </x:c>
      <x:c r="S25" t="str">
        <x:v>탐색</x:v>
      </x:c>
    </x:row>
    <x:row r="26" ht="36" customHeight="1">
      <x:c r="A26" t="str">
        <x:v>PF OA</x:v>
      </x:c>
      <x:c r="B26" t="str">
        <x:v>Synovitis</x:v>
      </x:c>
      <x:c r="C26" t="n">
        <x:v>14</x:v>
      </x:c>
      <x:c r="D26" t="n">
        <x:v>7</x:v>
      </x:c>
      <x:c r="E26" t="n">
        <x:v>13</x:v>
      </x:c>
      <x:c r="F26" t="n">
        <x:v>24</x:v>
      </x:c>
      <x:c r="G26" t="n">
        <x:f>C26+D26</x:f>
        <x:v>21</x:v>
      </x:c>
      <x:c r="H26" s="5" t="n">
        <x:f>IFERROR(C26/G26,"")</x:f>
        <x:v>0.6666666666666666</x:v>
      </x:c>
      <x:c r="I26" s="6" t="n">
        <x:f>E26+F26</x:f>
        <x:v>37</x:v>
      </x:c>
      <x:c r="J26" s="5" t="n">
        <x:f>IFERROR(E26/I26,"")</x:f>
        <x:v>0.35135135135135137</x:v>
      </x:c>
      <x:c r="K26" s="5" t="n">
        <x:f>H26-J26</x:f>
        <x:v>0.31531531531531526</x:v>
      </x:c>
      <x:c r="L26" s="7" t="n">
        <x:f>IFERROR(H26/J26,"")</x:f>
        <x:v>1.8974358974358971</x:v>
      </x:c>
      <x:c r="M26" s="7" t="n">
        <x:f>IFERROR((C26*F26)/(D26*E26),"")</x:f>
        <x:v>3.6923076923076925</x:v>
      </x:c>
      <x:c r="N26" s="7" t="n">
        <x:f>IFERROR(EXP(LN(M26)-1.96*SQRT(1/C26+1/D26+1/E26+1/F26)),"")</x:f>
        <x:v>1.1917497379308575</x:v>
      </x:c>
      <x:c r="O26" s="7" t="n">
        <x:f>IFERROR(EXP(LN(M26)+1.96*SQRT(1/C26+1/D26+1/E26+1/F26)),"")</x:f>
        <x:v>11.439596469594957</x:v>
      </x:c>
      <x:c r="P26" s="8" t="n">
        <x:v>0.029204016973942225</x:v>
      </x:c>
      <x:c r="Q26" s="8" t="n">
        <x:v>0.13767608002001336</x:v>
      </x:c>
      <x:c r="R26" s="9" t="str">
        <x:v>통계적 후보이며 임상적 검토 필요.</x:v>
      </x:c>
      <x:c r="S26" t="str">
        <x:v>탐색</x:v>
      </x:c>
    </x:row>
    <x:row r="27" ht="36" customHeight="1">
      <x:c r="A27" t="str">
        <x:v>Contusion</x:v>
      </x:c>
      <x:c r="B27" t="str">
        <x:v>Medial OA</x:v>
      </x:c>
      <x:c r="C27" t="n">
        <x:v>1</x:v>
      </x:c>
      <x:c r="D27" t="n">
        <x:v>18</x:v>
      </x:c>
      <x:c r="E27" t="n">
        <x:v>14</x:v>
      </x:c>
      <x:c r="F27" t="n">
        <x:v>25</x:v>
      </x:c>
      <x:c r="G27" t="n">
        <x:f>C27+D27</x:f>
        <x:v>19</x:v>
      </x:c>
      <x:c r="H27" s="5" t="n">
        <x:f>IFERROR(C27/G27,"")</x:f>
        <x:v>0.05263157894736842</x:v>
      </x:c>
      <x:c r="I27" s="6" t="n">
        <x:f>E27+F27</x:f>
        <x:v>39</x:v>
      </x:c>
      <x:c r="J27" s="5" t="n">
        <x:f>IFERROR(E27/I27,"")</x:f>
        <x:v>0.358974358974359</x:v>
      </x:c>
      <x:c r="K27" s="5" t="n">
        <x:f>H27-J27</x:f>
        <x:v>-0.30634278002699056</x:v>
      </x:c>
      <x:c r="L27" s="7" t="n">
        <x:f>IFERROR(H27/J27,"")</x:f>
        <x:v>0.14661654135338345</x:v>
      </x:c>
      <x:c r="M27" s="7" t="n">
        <x:f>IFERROR((C27*F27)/(D27*E27),"")</x:f>
        <x:v>0.0992063492063492</x:v>
      </x:c>
      <x:c r="N27" s="7" t="n">
        <x:f>IFERROR(EXP(LN(M27)-1.96*SQRT(1/C27+1/D27+1/E27+1/F27)),"")</x:f>
        <x:v>0.011939736529685442</x:v>
      </x:c>
      <x:c r="O27" s="7" t="n">
        <x:f>IFERROR(EXP(LN(M27)+1.96*SQRT(1/C27+1/D27+1/E27+1/F27)),"")</x:f>
        <x:v>0.8242978978960257</x:v>
      </x:c>
      <x:c r="P27" s="8" t="n">
        <x:v>0.012490711090257164</x:v>
      </x:c>
      <x:c r="Q27" s="8" t="n">
        <x:v>0.09159854799521921</x:v>
      </x:c>
      <x:c r="R27" s="9" t="str">
        <x:v>통계적 후보이며 임상적 검토 필요.</x:v>
      </x:c>
      <x:c r="S27" t="str">
        <x:v>탐색</x:v>
      </x:c>
    </x:row>
    <x:row r="28" ht="36" customHeight="1">
      <x:c r="A28" t="str">
        <x:v>MCL</x:v>
      </x:c>
      <x:c r="B28" t="str">
        <x:v>Medial OA</x:v>
      </x:c>
      <x:c r="C28" t="n">
        <x:v>0</x:v>
      </x:c>
      <x:c r="D28" t="n">
        <x:v>9</x:v>
      </x:c>
      <x:c r="E28" t="n">
        <x:v>15</x:v>
      </x:c>
      <x:c r="F28" t="n">
        <x:v>34</x:v>
      </x:c>
      <x:c r="G28" t="n">
        <x:f>C28+D28</x:f>
        <x:v>9</x:v>
      </x:c>
      <x:c r="H28" s="5" t="n">
        <x:f>IFERROR(C28/G28,"")</x:f>
        <x:v>0</x:v>
      </x:c>
      <x:c r="I28" s="6" t="n">
        <x:f>E28+F28</x:f>
        <x:v>49</x:v>
      </x:c>
      <x:c r="J28" s="5" t="n">
        <x:f>IFERROR(E28/I28,"")</x:f>
        <x:v>0.30612244897959184</x:v>
      </x:c>
      <x:c r="K28" s="5" t="n">
        <x:f>H28-J28</x:f>
        <x:v>-0.30612244897959184</x:v>
      </x:c>
      <x:c r="L28" s="7" t="n">
        <x:f>IFERROR(H28/J28,"")</x:f>
        <x:v>0</x:v>
      </x:c>
      <x:c r="M28" s="7" t="n">
        <x:f>IFERROR((C28*F28)/(D28*E28),"")</x:f>
        <x:v>0</x:v>
      </x:c>
      <x:c r="N28" s="7" t="str">
        <x:f>IFERROR(EXP(LN(M28)-1.96*SQRT(1/C28+1/D28+1/E28+1/F28)),"")</x:f>
      </x:c>
      <x:c r="O28" s="7" t="str">
        <x:f>IFERROR(EXP(LN(M28)+1.96*SQRT(1/C28+1/D28+1/E28+1/F28)),"")</x:f>
      </x:c>
      <x:c r="P28" s="8" t="n">
        <x:v>0.09413027609365156</x:v>
      </x:c>
      <x:c r="Q28" s="8" t="n">
        <x:v>0.2559642905040719</x:v>
      </x:c>
      <x:c r="R28" s="9" t="str">
        <x:v>통계적 후보이며 임상적 검토 필요.</x:v>
      </x:c>
      <x:c r="S28" t="str">
        <x:v>탐색</x:v>
      </x:c>
    </x:row>
    <x:row r="29" ht="36" customHeight="1">
      <x:c r="A29" t="str">
        <x:v>Contusion</x:v>
      </x:c>
      <x:c r="B29" t="str">
        <x:v>PF OA</x:v>
      </x:c>
      <x:c r="C29" t="n">
        <x:v>3</x:v>
      </x:c>
      <x:c r="D29" t="n">
        <x:v>16</x:v>
      </x:c>
      <x:c r="E29" t="n">
        <x:v>18</x:v>
      </x:c>
      <x:c r="F29" t="n">
        <x:v>21</x:v>
      </x:c>
      <x:c r="G29" t="n">
        <x:f>C29+D29</x:f>
        <x:v>19</x:v>
      </x:c>
      <x:c r="H29" s="5" t="n">
        <x:f>IFERROR(C29/G29,"")</x:f>
        <x:v>0.15789473684210525</x:v>
      </x:c>
      <x:c r="I29" s="6" t="n">
        <x:f>E29+F29</x:f>
        <x:v>39</x:v>
      </x:c>
      <x:c r="J29" s="5" t="n">
        <x:f>IFERROR(E29/I29,"")</x:f>
        <x:v>0.46153846153846156</x:v>
      </x:c>
      <x:c r="K29" s="5" t="n">
        <x:f>H29-J29</x:f>
        <x:v>-0.3036437246963563</x:v>
      </x:c>
      <x:c r="L29" s="7" t="n">
        <x:f>IFERROR(H29/J29,"")</x:f>
        <x:v>0.3421052631578947</x:v>
      </x:c>
      <x:c r="M29" s="7" t="n">
        <x:f>IFERROR((C29*F29)/(D29*E29),"")</x:f>
        <x:v>0.21875</x:v>
      </x:c>
      <x:c r="N29" s="7" t="n">
        <x:f>IFERROR(EXP(LN(M29)-1.96*SQRT(1/C29+1/D29+1/E29+1/F29)),"")</x:f>
        <x:v>0.05478277647500638</x:v>
      </x:c>
      <x:c r="O29" s="7" t="n">
        <x:f>IFERROR(EXP(LN(M29)+1.96*SQRT(1/C29+1/D29+1/E29+1/F29)),"")</x:f>
        <x:v>0.8734782276292874</x:v>
      </x:c>
      <x:c r="P29" s="8" t="n">
        <x:v>0.040140020562600784</x:v>
      </x:c>
      <x:c r="Q29" s="8" t="n">
        <x:v>0.17661609047544344</x:v>
      </x:c>
      <x:c r="R29" s="9" t="str">
        <x:v>통계적 후보이며 임상적 검토 필요.</x:v>
      </x:c>
      <x:c r="S29" t="str">
        <x:v>탐색</x:v>
      </x:c>
    </x:row>
    <x:row r="30" ht="36" customHeight="1">
      <x:c r="A30" t="str">
        <x:v>MCL</x:v>
      </x:c>
      <x:c r="B30" t="str">
        <x:v>PF OA</x:v>
      </x:c>
      <x:c r="C30" t="n">
        <x:v>1</x:v>
      </x:c>
      <x:c r="D30" t="n">
        <x:v>8</x:v>
      </x:c>
      <x:c r="E30" t="n">
        <x:v>20</x:v>
      </x:c>
      <x:c r="F30" t="n">
        <x:v>29</x:v>
      </x:c>
      <x:c r="G30" t="n">
        <x:f>C30+D30</x:f>
        <x:v>9</x:v>
      </x:c>
      <x:c r="H30" s="5" t="n">
        <x:f>IFERROR(C30/G30,"")</x:f>
        <x:v>0.1111111111111111</x:v>
      </x:c>
      <x:c r="I30" s="6" t="n">
        <x:f>E30+F30</x:f>
        <x:v>49</x:v>
      </x:c>
      <x:c r="J30" s="5" t="n">
        <x:f>IFERROR(E30/I30,"")</x:f>
        <x:v>0.40816326530612246</x:v>
      </x:c>
      <x:c r="K30" s="5" t="n">
        <x:f>H30-J30</x:f>
        <x:v>-0.29705215419501135</x:v>
      </x:c>
      <x:c r="L30" s="7" t="n">
        <x:f>IFERROR(H30/J30,"")</x:f>
        <x:v>0.2722222222222222</x:v>
      </x:c>
      <x:c r="M30" s="7" t="n">
        <x:f>IFERROR((C30*F30)/(D30*E30),"")</x:f>
        <x:v>0.18125</x:v>
      </x:c>
      <x:c r="N30" s="7" t="n">
        <x:f>IFERROR(EXP(LN(M30)-1.96*SQRT(1/C30+1/D30+1/E30+1/F30)),"")</x:f>
        <x:v>0.020996130483169312</x:v>
      </x:c>
      <x:c r="O30" s="7" t="n">
        <x:f>IFERROR(EXP(LN(M30)+1.96*SQRT(1/C30+1/D30+1/E30+1/F30)),"")</x:f>
        <x:v>1.564648425400771</x:v>
      </x:c>
      <x:c r="P30" s="8" t="n">
        <x:v>0.13541984502502163</x:v>
      </x:c>
      <x:c r="Q30" s="8" t="n">
        <x:v>0.3192039204161224</x:v>
      </x:c>
      <x:c r="R30" s="9" t="str">
        <x:v>통계적 후보이며 임상적 검토 필요.</x:v>
      </x:c>
      <x:c r="S30" t="str">
        <x:v>탐색</x:v>
      </x:c>
    </x:row>
    <x:row r="31" ht="36" customHeight="1">
      <x:c r="A31" t="str">
        <x:v>Synovitis</x:v>
      </x:c>
      <x:c r="B31" t="str">
        <x:v>PF OA</x:v>
      </x:c>
      <x:c r="C31" t="n">
        <x:v>14</x:v>
      </x:c>
      <x:c r="D31" t="n">
        <x:v>13</x:v>
      </x:c>
      <x:c r="E31" t="n">
        <x:v>7</x:v>
      </x:c>
      <x:c r="F31" t="n">
        <x:v>24</x:v>
      </x:c>
      <x:c r="G31" t="n">
        <x:f>C31+D31</x:f>
        <x:v>27</x:v>
      </x:c>
      <x:c r="H31" s="5" t="n">
        <x:f>IFERROR(C31/G31,"")</x:f>
        <x:v>0.5185185185185185</x:v>
      </x:c>
      <x:c r="I31" s="6" t="n">
        <x:f>E31+F31</x:f>
        <x:v>31</x:v>
      </x:c>
      <x:c r="J31" s="5" t="n">
        <x:f>IFERROR(E31/I31,"")</x:f>
        <x:v>0.22580645161290322</x:v>
      </x:c>
      <x:c r="K31" s="5" t="n">
        <x:f>H31-J31</x:f>
        <x:v>0.29271206690561524</x:v>
      </x:c>
      <x:c r="L31" s="7" t="n">
        <x:f>IFERROR(H31/J31,"")</x:f>
        <x:v>2.2962962962962963</x:v>
      </x:c>
      <x:c r="M31" s="7" t="n">
        <x:f>IFERROR((C31*F31)/(D31*E31),"")</x:f>
        <x:v>3.6923076923076925</x:v>
      </x:c>
      <x:c r="N31" s="7" t="n">
        <x:f>IFERROR(EXP(LN(M31)-1.96*SQRT(1/C31+1/D31+1/E31+1/F31)),"")</x:f>
        <x:v>1.1917497379308575</x:v>
      </x:c>
      <x:c r="O31" s="7" t="n">
        <x:f>IFERROR(EXP(LN(M31)+1.96*SQRT(1/C31+1/D31+1/E31+1/F31)),"")</x:f>
        <x:v>11.439596469594957</x:v>
      </x:c>
      <x:c r="P31" s="8" t="n">
        <x:v>0.029204016973942225</x:v>
      </x:c>
      <x:c r="Q31" s="8" t="n">
        <x:v>0.13767608002001336</x:v>
      </x:c>
      <x:c r="R31" s="9" t="str">
        <x:v>통계적 후보이며 임상적 검토 필요.</x:v>
      </x:c>
      <x:c r="S31" t="str">
        <x:v>탐색</x:v>
      </x:c>
    </x:row>
    <x:row r="32" ht="36" customHeight="1">
      <x:c r="A32" t="str">
        <x:v>Lateral OA</x:v>
      </x:c>
      <x:c r="B32" t="str">
        <x:v>Contusion</x:v>
      </x:c>
      <x:c r="C32" t="n">
        <x:v>1</x:v>
      </x:c>
      <x:c r="D32" t="n">
        <x:v>10</x:v>
      </x:c>
      <x:c r="E32" t="n">
        <x:v>18</x:v>
      </x:c>
      <x:c r="F32" t="n">
        <x:v>29</x:v>
      </x:c>
      <x:c r="G32" t="n">
        <x:f>C32+D32</x:f>
        <x:v>11</x:v>
      </x:c>
      <x:c r="H32" s="5" t="n">
        <x:f>IFERROR(C32/G32,"")</x:f>
        <x:v>0.09090909090909091</x:v>
      </x:c>
      <x:c r="I32" s="6" t="n">
        <x:f>E32+F32</x:f>
        <x:v>47</x:v>
      </x:c>
      <x:c r="J32" s="5" t="n">
        <x:f>IFERROR(E32/I32,"")</x:f>
        <x:v>0.3829787234042553</x:v>
      </x:c>
      <x:c r="K32" s="5" t="n">
        <x:f>H32-J32</x:f>
        <x:v>-0.2920696324951644</x:v>
      </x:c>
      <x:c r="L32" s="7" t="n">
        <x:f>IFERROR(H32/J32,"")</x:f>
        <x:v>0.23737373737373738</x:v>
      </x:c>
      <x:c r="M32" s="7" t="n">
        <x:f>IFERROR((C32*F32)/(D32*E32),"")</x:f>
        <x:v>0.16111111111111112</x:v>
      </x:c>
      <x:c r="N32" s="7" t="n">
        <x:f>IFERROR(EXP(LN(M32)-1.96*SQRT(1/C32+1/D32+1/E32+1/F32)),"")</x:f>
        <x:v>0.01899075465795572</x:v>
      </x:c>
      <x:c r="O32" s="7" t="n">
        <x:f>IFERROR(EXP(LN(M32)+1.96*SQRT(1/C32+1/D32+1/E32+1/F32)),"")</x:f>
        <x:v>1.3668119351214314</x:v>
      </x:c>
      <x:c r="P32" s="8" t="n">
        <x:v>0.08196393716888163</x:v>
      </x:c>
      <x:c r="Q32" s="8" t="n">
        <x:v>0.23520086318026903</x:v>
      </x:c>
      <x:c r="R32" s="9" t="str">
        <x:v>통계적 후보이며 임상적 검토 필요.</x:v>
      </x:c>
      <x:c r="S32" t="str">
        <x:v>탐색</x:v>
      </x:c>
    </x:row>
    <x:row r="33" ht="36" customHeight="1">
      <x:c r="A33" t="str">
        <x:v>PF OA</x:v>
      </x:c>
      <x:c r="B33" t="str">
        <x:v>Contusion</x:v>
      </x:c>
      <x:c r="C33" t="n">
        <x:v>3</x:v>
      </x:c>
      <x:c r="D33" t="n">
        <x:v>18</x:v>
      </x:c>
      <x:c r="E33" t="n">
        <x:v>16</x:v>
      </x:c>
      <x:c r="F33" t="n">
        <x:v>21</x:v>
      </x:c>
      <x:c r="G33" t="n">
        <x:f>C33+D33</x:f>
        <x:v>21</x:v>
      </x:c>
      <x:c r="H33" s="5" t="n">
        <x:f>IFERROR(C33/G33,"")</x:f>
        <x:v>0.14285714285714285</x:v>
      </x:c>
      <x:c r="I33" s="6" t="n">
        <x:f>E33+F33</x:f>
        <x:v>37</x:v>
      </x:c>
      <x:c r="J33" s="5" t="n">
        <x:f>IFERROR(E33/I33,"")</x:f>
        <x:v>0.43243243243243246</x:v>
      </x:c>
      <x:c r="K33" s="5" t="n">
        <x:f>H33-J33</x:f>
        <x:v>-0.2895752895752896</x:v>
      </x:c>
      <x:c r="L33" s="7" t="n">
        <x:f>IFERROR(H33/J33,"")</x:f>
        <x:v>0.3303571428571428</x:v>
      </x:c>
      <x:c r="M33" s="7" t="n">
        <x:f>IFERROR((C33*F33)/(D33*E33),"")</x:f>
        <x:v>0.21875</x:v>
      </x:c>
      <x:c r="N33" s="7" t="n">
        <x:f>IFERROR(EXP(LN(M33)-1.96*SQRT(1/C33+1/D33+1/E33+1/F33)),"")</x:f>
        <x:v>0.05478277647500638</x:v>
      </x:c>
      <x:c r="O33" s="7" t="n">
        <x:f>IFERROR(EXP(LN(M33)+1.96*SQRT(1/C33+1/D33+1/E33+1/F33)),"")</x:f>
        <x:v>0.8734782276292874</x:v>
      </x:c>
      <x:c r="P33" s="8" t="n">
        <x:v>0.040140020562600784</x:v>
      </x:c>
      <x:c r="Q33" s="8" t="n">
        <x:v>0.17661609047544344</x:v>
      </x:c>
      <x:c r="R33" s="9" t="str">
        <x:v>통계적 후보이며 임상적 검토 필요.</x:v>
      </x:c>
      <x:c r="S33" t="str">
        <x:v>탐색</x:v>
      </x:c>
    </x:row>
    <x:row r="34" ht="36" customHeight="1">
      <x:c r="A34" t="str">
        <x:v>Medial OA</x:v>
      </x:c>
      <x:c r="B34" t="str">
        <x:v>ACL</x:v>
      </x:c>
      <x:c r="C34" t="n">
        <x:v>3</x:v>
      </x:c>
      <x:c r="D34" t="n">
        <x:v>12</x:v>
      </x:c>
      <x:c r="E34" t="n">
        <x:v>21</x:v>
      </x:c>
      <x:c r="F34" t="n">
        <x:v>22</x:v>
      </x:c>
      <x:c r="G34" t="n">
        <x:f>C34+D34</x:f>
        <x:v>15</x:v>
      </x:c>
      <x:c r="H34" s="5" t="n">
        <x:f>IFERROR(C34/G34,"")</x:f>
        <x:v>0.2</x:v>
      </x:c>
      <x:c r="I34" s="6" t="n">
        <x:f>E34+F34</x:f>
        <x:v>43</x:v>
      </x:c>
      <x:c r="J34" s="5" t="n">
        <x:f>IFERROR(E34/I34,"")</x:f>
        <x:v>0.4883720930232558</x:v>
      </x:c>
      <x:c r="K34" s="5" t="n">
        <x:f>H34-J34</x:f>
        <x:v>-0.2883720930232558</x:v>
      </x:c>
      <x:c r="L34" s="7" t="n">
        <x:f>IFERROR(H34/J34,"")</x:f>
        <x:v>0.40952380952380957</x:v>
      </x:c>
      <x:c r="M34" s="7" t="n">
        <x:f>IFERROR((C34*F34)/(D34*E34),"")</x:f>
        <x:v>0.2619047619047619</x:v>
      </x:c>
      <x:c r="N34" s="7" t="n">
        <x:f>IFERROR(EXP(LN(M34)-1.96*SQRT(1/C34+1/D34+1/E34+1/F34)),"")</x:f>
        <x:v>0.0646260410524317</x:v>
      </x:c>
      <x:c r="O34" s="7" t="n">
        <x:f>IFERROR(EXP(LN(M34)+1.96*SQRT(1/C34+1/D34+1/E34+1/F34)),"")</x:f>
        <x:v>1.0614003765562399</x:v>
      </x:c>
      <x:c r="P34" s="8" t="n">
        <x:v>0.06992316868713945</x:v>
      </x:c>
      <x:c r="Q34" s="8" t="n">
        <x:v>0.2307464566675602</x:v>
      </x:c>
      <x:c r="R34" s="9" t="str">
        <x:v>통계적 후보이며 임상적 검토 필요.</x:v>
      </x:c>
      <x:c r="S34" t="str">
        <x:v>탐색</x:v>
      </x:c>
    </x:row>
    <x:row r="35" ht="36" customHeight="1">
      <x:c r="A35" t="str">
        <x:v>Fracture</x:v>
      </x:c>
      <x:c r="B35" t="str">
        <x:v>ACL</x:v>
      </x:c>
      <x:c r="C35" t="n">
        <x:v>11</x:v>
      </x:c>
      <x:c r="D35" t="n">
        <x:v>7</x:v>
      </x:c>
      <x:c r="E35" t="n">
        <x:v>13</x:v>
      </x:c>
      <x:c r="F35" t="n">
        <x:v>27</x:v>
      </x:c>
      <x:c r="G35" t="n">
        <x:f>C35+D35</x:f>
        <x:v>18</x:v>
      </x:c>
      <x:c r="H35" s="5" t="n">
        <x:f>IFERROR(C35/G35,"")</x:f>
        <x:v>0.6111111111111112</x:v>
      </x:c>
      <x:c r="I35" s="6" t="n">
        <x:f>E35+F35</x:f>
        <x:v>40</x:v>
      </x:c>
      <x:c r="J35" s="5" t="n">
        <x:f>IFERROR(E35/I35,"")</x:f>
        <x:v>0.325</x:v>
      </x:c>
      <x:c r="K35" s="5" t="n">
        <x:f>H35-J35</x:f>
        <x:v>0.28611111111111115</x:v>
      </x:c>
      <x:c r="L35" s="7" t="n">
        <x:f>IFERROR(H35/J35,"")</x:f>
        <x:v>1.8803418803418803</x:v>
      </x:c>
      <x:c r="M35" s="7" t="n">
        <x:f>IFERROR((C35*F35)/(D35*E35),"")</x:f>
        <x:v>3.2637362637362637</x:v>
      </x:c>
      <x:c r="N35" s="7" t="n">
        <x:f>IFERROR(EXP(LN(M35)-1.96*SQRT(1/C35+1/D35+1/E35+1/F35)),"")</x:f>
        <x:v>1.027463806227573</x:v>
      </x:c>
      <x:c r="O35" s="7" t="n">
        <x:f>IFERROR(EXP(LN(M35)+1.96*SQRT(1/C35+1/D35+1/E35+1/F35)),"")</x:f>
        <x:v>10.367250247321941</x:v>
      </x:c>
      <x:c r="P35" s="8" t="n">
        <x:v>0.04951836771068076</x:v>
      </x:c>
      <x:c r="Q35" s="8" t="n">
        <x:v>0.1922477805238194</x:v>
      </x:c>
      <x:c r="R35" s="9" t="str">
        <x:v>통계적 후보이며 임상적 검토 필요.</x:v>
      </x:c>
      <x:c r="S35" t="str">
        <x:v>탐색</x:v>
      </x:c>
    </x:row>
    <x:row r="36" ht="36" customHeight="1">
      <x:c r="A36" t="str">
        <x:v>Medial OA</x:v>
      </x:c>
      <x:c r="B36" t="str">
        <x:v>Lateral OA</x:v>
      </x:c>
      <x:c r="C36" t="n">
        <x:v>6</x:v>
      </x:c>
      <x:c r="D36" t="n">
        <x:v>9</x:v>
      </x:c>
      <x:c r="E36" t="n">
        <x:v>5</x:v>
      </x:c>
      <x:c r="F36" t="n">
        <x:v>38</x:v>
      </x:c>
      <x:c r="G36" t="n">
        <x:f>C36+D36</x:f>
        <x:v>15</x:v>
      </x:c>
      <x:c r="H36" s="5" t="n">
        <x:f>IFERROR(C36/G36,"")</x:f>
        <x:v>0.4</x:v>
      </x:c>
      <x:c r="I36" s="6" t="n">
        <x:f>E36+F36</x:f>
        <x:v>43</x:v>
      </x:c>
      <x:c r="J36" s="5" t="n">
        <x:f>IFERROR(E36/I36,"")</x:f>
        <x:v>0.11627906976744186</x:v>
      </x:c>
      <x:c r="K36" s="5" t="n">
        <x:f>H36-J36</x:f>
        <x:v>0.2837209302325582</x:v>
      </x:c>
      <x:c r="L36" s="7" t="n">
        <x:f>IFERROR(H36/J36,"")</x:f>
        <x:v>3.4400000000000004</x:v>
      </x:c>
      <x:c r="M36" s="7" t="n">
        <x:f>IFERROR((C36*F36)/(D36*E36),"")</x:f>
        <x:v>5.066666666666666</x:v>
      </x:c>
      <x:c r="N36" s="7" t="n">
        <x:f>IFERROR(EXP(LN(M36)-1.96*SQRT(1/C36+1/D36+1/E36+1/F36)),"")</x:f>
        <x:v>1.2599751747847097</x:v>
      </x:c>
      <x:c r="O36" s="7" t="n">
        <x:f>IFERROR(EXP(LN(M36)+1.96*SQRT(1/C36+1/D36+1/E36+1/F36)),"")</x:f>
        <x:v>20.37429913291545</x:v>
      </x:c>
      <x:c r="P36" s="8" t="n">
        <x:v>0.025016265452179547</x:v>
      </x:c>
      <x:c r="Q36" s="8" t="n">
        <x:v>0.12700565537260383</x:v>
      </x:c>
      <x:c r="R36" s="9" t="str">
        <x:v>통계적 후보이며 임상적 검토 필요.</x:v>
      </x:c>
      <x:c r="S36" t="str">
        <x:v>탐색</x:v>
      </x:c>
    </x:row>
    <x:row r="37" ht="36" customHeight="1">
      <x:c r="A37" t="str">
        <x:v>Baker's</x:v>
      </x:c>
      <x:c r="B37" t="str">
        <x:v>PF OA</x:v>
      </x:c>
      <x:c r="C37" t="n">
        <x:v>7</x:v>
      </x:c>
      <x:c r="D37" t="n">
        <x:v>5</x:v>
      </x:c>
      <x:c r="E37" t="n">
        <x:v>14</x:v>
      </x:c>
      <x:c r="F37" t="n">
        <x:v>32</x:v>
      </x:c>
      <x:c r="G37" t="n">
        <x:f>C37+D37</x:f>
        <x:v>12</x:v>
      </x:c>
      <x:c r="H37" s="5" t="n">
        <x:f>IFERROR(C37/G37,"")</x:f>
        <x:v>0.5833333333333334</x:v>
      </x:c>
      <x:c r="I37" s="6" t="n">
        <x:f>E37+F37</x:f>
        <x:v>46</x:v>
      </x:c>
      <x:c r="J37" s="5" t="n">
        <x:f>IFERROR(E37/I37,"")</x:f>
        <x:v>0.30434782608695654</x:v>
      </x:c>
      <x:c r="K37" s="5" t="n">
        <x:f>H37-J37</x:f>
        <x:v>0.27898550724637683</x:v>
      </x:c>
      <x:c r="L37" s="7" t="n">
        <x:f>IFERROR(H37/J37,"")</x:f>
        <x:v>1.9166666666666667</x:v>
      </x:c>
      <x:c r="M37" s="7" t="n">
        <x:f>IFERROR((C37*F37)/(D37*E37),"")</x:f>
        <x:v>3.2</x:v>
      </x:c>
      <x:c r="N37" s="7" t="n">
        <x:f>IFERROR(EXP(LN(M37)-1.96*SQRT(1/C37+1/D37+1/E37+1/F37)),"")</x:f>
        <x:v>0.8649193269560759</x:v>
      </x:c>
      <x:c r="O37" s="7" t="n">
        <x:f>IFERROR(EXP(LN(M37)+1.96*SQRT(1/C37+1/D37+1/E37+1/F37)),"")</x:f>
        <x:v>11.839254460919253</x:v>
      </x:c>
      <x:c r="P37" s="8" t="n">
        <x:v>0.09695617064548177</x:v>
      </x:c>
      <x:c r="Q37" s="8" t="n">
        <x:v>0.2559642905040719</x:v>
      </x:c>
      <x:c r="R37" s="9" t="str">
        <x:v>통계적 후보이며 임상적 검토 필요.</x:v>
      </x:c>
      <x:c r="S37" t="str">
        <x:v>탐색</x:v>
      </x:c>
    </x:row>
    <x:row r="38" ht="36" customHeight="1">
      <x:c r="A38" t="str">
        <x:v>PF OA</x:v>
      </x:c>
      <x:c r="B38" t="str">
        <x:v>ACL</x:v>
      </x:c>
      <x:c r="C38" t="n">
        <x:v>5</x:v>
      </x:c>
      <x:c r="D38" t="n">
        <x:v>16</x:v>
      </x:c>
      <x:c r="E38" t="n">
        <x:v>19</x:v>
      </x:c>
      <x:c r="F38" t="n">
        <x:v>18</x:v>
      </x:c>
      <x:c r="G38" t="n">
        <x:f>C38+D38</x:f>
        <x:v>21</x:v>
      </x:c>
      <x:c r="H38" s="5" t="n">
        <x:f>IFERROR(C38/G38,"")</x:f>
        <x:v>0.23809523809523808</x:v>
      </x:c>
      <x:c r="I38" s="6" t="n">
        <x:f>E38+F38</x:f>
        <x:v>37</x:v>
      </x:c>
      <x:c r="J38" s="5" t="n">
        <x:f>IFERROR(E38/I38,"")</x:f>
        <x:v>0.5135135135135135</x:v>
      </x:c>
      <x:c r="K38" s="5" t="n">
        <x:f>H38-J38</x:f>
        <x:v>-0.2754182754182754</x:v>
      </x:c>
      <x:c r="L38" s="7" t="n">
        <x:f>IFERROR(H38/J38,"")</x:f>
        <x:v>0.46365914786967416</x:v>
      </x:c>
      <x:c r="M38" s="7" t="n">
        <x:f>IFERROR((C38*F38)/(D38*E38),"")</x:f>
        <x:v>0.29605263157894735</x:v>
      </x:c>
      <x:c r="N38" s="7" t="n">
        <x:f>IFERROR(EXP(LN(M38)-1.96*SQRT(1/C38+1/D38+1/E38+1/F38)),"")</x:f>
        <x:v>0.0897662667571979</x:v>
      </x:c>
      <x:c r="O38" s="7" t="n">
        <x:f>IFERROR(EXP(LN(M38)+1.96*SQRT(1/C38+1/D38+1/E38+1/F38)),"")</x:f>
        <x:v>0.9763930687001857</x:v>
      </x:c>
      <x:c r="P38" s="8" t="n">
        <x:v>0.0542482223620421</x:v>
      </x:c>
      <x:c r="Q38" s="8" t="n">
        <x:v>0.19891014866082105</x:v>
      </x:c>
      <x:c r="R38" s="9" t="str">
        <x:v>통계적 후보이며 임상적 검토 필요.</x:v>
      </x:c>
      <x:c r="S38" t="str">
        <x:v>탐색</x:v>
      </x:c>
    </x:row>
    <x:row r="39" ht="36" customHeight="1">
      <x:c r="A39" t="str">
        <x:v>Medial OA</x:v>
      </x:c>
      <x:c r="B39" t="str">
        <x:v>Synovitis</x:v>
      </x:c>
      <x:c r="C39" t="n">
        <x:v>10</x:v>
      </x:c>
      <x:c r="D39" t="n">
        <x:v>5</x:v>
      </x:c>
      <x:c r="E39" t="n">
        <x:v>17</x:v>
      </x:c>
      <x:c r="F39" t="n">
        <x:v>26</x:v>
      </x:c>
      <x:c r="G39" t="n">
        <x:f>C39+D39</x:f>
        <x:v>15</x:v>
      </x:c>
      <x:c r="H39" s="5" t="n">
        <x:f>IFERROR(C39/G39,"")</x:f>
        <x:v>0.6666666666666666</x:v>
      </x:c>
      <x:c r="I39" s="6" t="n">
        <x:f>E39+F39</x:f>
        <x:v>43</x:v>
      </x:c>
      <x:c r="J39" s="5" t="n">
        <x:f>IFERROR(E39/I39,"")</x:f>
        <x:v>0.3953488372093023</x:v>
      </x:c>
      <x:c r="K39" s="5" t="n">
        <x:f>H39-J39</x:f>
        <x:v>0.2713178294573643</x:v>
      </x:c>
      <x:c r="L39" s="7" t="n">
        <x:f>IFERROR(H39/J39,"")</x:f>
        <x:v>1.6862745098039216</x:v>
      </x:c>
      <x:c r="M39" s="7" t="n">
        <x:f>IFERROR((C39*F39)/(D39*E39),"")</x:f>
        <x:v>3.0588235294117645</x:v>
      </x:c>
      <x:c r="N39" s="7" t="n">
        <x:f>IFERROR(EXP(LN(M39)-1.96*SQRT(1/C39+1/D39+1/E39+1/F39)),"")</x:f>
        <x:v>0.8892574638828824</x:v>
      </x:c>
      <x:c r="O39" s="7" t="n">
        <x:f>IFERROR(EXP(LN(M39)+1.96*SQRT(1/C39+1/D39+1/E39+1/F39)),"")</x:f>
        <x:v>10.521588813243074</x:v>
      </x:c>
      <x:c r="P39" s="8" t="n">
        <x:v>0.08148506147199265</x:v>
      </x:c>
      <x:c r="Q39" s="8" t="n">
        <x:v>0.23520086318026903</x:v>
      </x:c>
      <x:c r="R39" s="9" t="str">
        <x:v>통계적 후보이며 임상적 검토 필요.</x:v>
      </x:c>
      <x:c r="S39" t="str">
        <x:v>탐색</x:v>
      </x:c>
    </x:row>
    <x:row r="40" ht="36" customHeight="1">
      <x:c r="A40" t="str">
        <x:v>Synovitis</x:v>
      </x:c>
      <x:c r="B40" t="str">
        <x:v>Lateral OA</x:v>
      </x:c>
      <x:c r="C40" t="n">
        <x:v>9</x:v>
      </x:c>
      <x:c r="D40" t="n">
        <x:v>18</x:v>
      </x:c>
      <x:c r="E40" t="n">
        <x:v>2</x:v>
      </x:c>
      <x:c r="F40" t="n">
        <x:v>29</x:v>
      </x:c>
      <x:c r="G40" t="n">
        <x:f>C40+D40</x:f>
        <x:v>27</x:v>
      </x:c>
      <x:c r="H40" s="5" t="n">
        <x:f>IFERROR(C40/G40,"")</x:f>
        <x:v>0.3333333333333333</x:v>
      </x:c>
      <x:c r="I40" s="6" t="n">
        <x:f>E40+F40</x:f>
        <x:v>31</x:v>
      </x:c>
      <x:c r="J40" s="5" t="n">
        <x:f>IFERROR(E40/I40,"")</x:f>
        <x:v>0.06451612903225806</x:v>
      </x:c>
      <x:c r="K40" s="5" t="n">
        <x:f>H40-J40</x:f>
        <x:v>0.26881720430107525</x:v>
      </x:c>
      <x:c r="L40" s="7" t="n">
        <x:f>IFERROR(H40/J40,"")</x:f>
        <x:v>5.166666666666667</x:v>
      </x:c>
      <x:c r="M40" s="7" t="n">
        <x:f>IFERROR((C40*F40)/(D40*E40),"")</x:f>
        <x:v>7.25</x:v>
      </x:c>
      <x:c r="N40" s="7" t="n">
        <x:f>IFERROR(EXP(LN(M40)-1.96*SQRT(1/C40+1/D40+1/E40+1/F40)),"")</x:f>
        <x:v>1.4046694660482473</x:v>
      </x:c>
      <x:c r="O40" s="7" t="n">
        <x:f>IFERROR(EXP(LN(M40)+1.96*SQRT(1/C40+1/D40+1/E40+1/F40)),"")</x:f>
        <x:v>37.419835249835636</x:v>
      </x:c>
      <x:c r="P40" s="8" t="n">
        <x:v>0.016408624025578432</x:v>
      </x:c>
      <x:c r="Q40" s="8" t="n">
        <x:v>0.10745647339762526</x:v>
      </x:c>
      <x:c r="R40" s="9" t="str">
        <x:v>통계적 후보이며 임상적 검토 필요.</x:v>
      </x:c>
      <x:c r="S40" t="str">
        <x:v>탐색</x:v>
      </x:c>
    </x:row>
    <x:row r="41" ht="36" customHeight="1">
      <x:c r="A41" t="str">
        <x:v>MCL</x:v>
      </x:c>
      <x:c r="B41" t="str">
        <x:v>Medial Meniscus</x:v>
      </x:c>
      <x:c r="C41" t="n">
        <x:v>2</x:v>
      </x:c>
      <x:c r="D41" t="n">
        <x:v>7</x:v>
      </x:c>
      <x:c r="E41" t="n">
        <x:v>24</x:v>
      </x:c>
      <x:c r="F41" t="n">
        <x:v>25</x:v>
      </x:c>
      <x:c r="G41" t="n">
        <x:f>C41+D41</x:f>
        <x:v>9</x:v>
      </x:c>
      <x:c r="H41" s="5" t="n">
        <x:f>IFERROR(C41/G41,"")</x:f>
        <x:v>0.2222222222222222</x:v>
      </x:c>
      <x:c r="I41" s="6" t="n">
        <x:f>E41+F41</x:f>
        <x:v>49</x:v>
      </x:c>
      <x:c r="J41" s="5" t="n">
        <x:f>IFERROR(E41/I41,"")</x:f>
        <x:v>0.4897959183673469</x:v>
      </x:c>
      <x:c r="K41" s="5" t="n">
        <x:f>H41-J41</x:f>
        <x:v>-0.2675736961451247</x:v>
      </x:c>
      <x:c r="L41" s="7" t="n">
        <x:f>IFERROR(H41/J41,"")</x:f>
        <x:v>0.45370370370370366</x:v>
      </x:c>
      <x:c r="M41" s="7" t="n">
        <x:f>IFERROR((C41*F41)/(D41*E41),"")</x:f>
        <x:v>0.2976190476190476</x:v>
      </x:c>
      <x:c r="N41" s="7" t="n">
        <x:f>IFERROR(EXP(LN(M41)-1.96*SQRT(1/C41+1/D41+1/E41+1/F41)),"")</x:f>
        <x:v>0.056119458340335236</x:v>
      </x:c>
      <x:c r="O41" s="7" t="n">
        <x:f>IFERROR(EXP(LN(M41)+1.96*SQRT(1/C41+1/D41+1/E41+1/F41)),"")</x:f>
        <x:v>1.5783669359118737</x:v>
      </x:c>
      <x:c r="P41" s="8" t="n">
        <x:v>0.16666681926495955</x:v>
      </x:c>
      <x:c r="Q41" s="8" t="n">
        <x:v>0.35396477570044904</x:v>
      </x:c>
      <x:c r="R41" s="9" t="str">
        <x:v>통계적 후보이며 임상적 검토 필요.</x:v>
      </x:c>
      <x:c r="S41" t="str">
        <x:v>탐색</x:v>
      </x:c>
    </x:row>
    <x:row r="42" ht="36" customHeight="1">
      <x:c r="A42" t="str">
        <x:v>Lateral OA</x:v>
      </x:c>
      <x:c r="B42" t="str">
        <x:v>Effusion</x:v>
      </x:c>
      <x:c r="C42" t="n">
        <x:v>9</x:v>
      </x:c>
      <x:c r="D42" t="n">
        <x:v>2</x:v>
      </x:c>
      <x:c r="E42" t="n">
        <x:v>26</x:v>
      </x:c>
      <x:c r="F42" t="n">
        <x:v>21</x:v>
      </x:c>
      <x:c r="G42" t="n">
        <x:f>C42+D42</x:f>
        <x:v>11</x:v>
      </x:c>
      <x:c r="H42" s="5" t="n">
        <x:f>IFERROR(C42/G42,"")</x:f>
        <x:v>0.8181818181818182</x:v>
      </x:c>
      <x:c r="I42" s="6" t="n">
        <x:f>E42+F42</x:f>
        <x:v>47</x:v>
      </x:c>
      <x:c r="J42" s="5" t="n">
        <x:f>IFERROR(E42/I42,"")</x:f>
        <x:v>0.5531914893617021</x:v>
      </x:c>
      <x:c r="K42" s="5" t="n">
        <x:f>H42-J42</x:f>
        <x:v>0.2649903288201161</x:v>
      </x:c>
      <x:c r="L42" s="7" t="n">
        <x:f>IFERROR(H42/J42,"")</x:f>
        <x:v>1.479020979020979</x:v>
      </x:c>
      <x:c r="M42" s="7" t="n">
        <x:f>IFERROR((C42*F42)/(D42*E42),"")</x:f>
        <x:v>3.6346153846153846</x:v>
      </x:c>
      <x:c r="N42" s="7" t="n">
        <x:f>IFERROR(EXP(LN(M42)-1.96*SQRT(1/C42+1/D42+1/E42+1/F42)),"")</x:f>
        <x:v>0.707471723445915</x:v>
      </x:c>
      <x:c r="O42" s="7" t="n">
        <x:f>IFERROR(EXP(LN(M42)+1.96*SQRT(1/C42+1/D42+1/E42+1/F42)),"")</x:f>
        <x:v>18.672730734365185</x:v>
      </x:c>
      <x:c r="P42" s="8" t="n">
        <x:v>0.1716192851880965</x:v>
      </x:c>
      <x:c r="Q42" s="8" t="n">
        <x:v>0.35396477570044904</x:v>
      </x:c>
      <x:c r="R42" s="9" t="str">
        <x:v>통계적 후보이며 임상적 검토 필요.</x:v>
      </x:c>
      <x:c r="S42" t="str">
        <x:v>탐색</x:v>
      </x:c>
    </x:row>
    <x:row r="43" ht="36" customHeight="1">
      <x:c r="A43" t="str">
        <x:v>ACL</x:v>
      </x:c>
      <x:c r="B43" t="str">
        <x:v>PF OA</x:v>
      </x:c>
      <x:c r="C43" t="n">
        <x:v>5</x:v>
      </x:c>
      <x:c r="D43" t="n">
        <x:v>19</x:v>
      </x:c>
      <x:c r="E43" t="n">
        <x:v>16</x:v>
      </x:c>
      <x:c r="F43" t="n">
        <x:v>18</x:v>
      </x:c>
      <x:c r="G43" t="n">
        <x:f>C43+D43</x:f>
        <x:v>24</x:v>
      </x:c>
      <x:c r="H43" s="5" t="n">
        <x:f>IFERROR(C43/G43,"")</x:f>
        <x:v>0.20833333333333334</x:v>
      </x:c>
      <x:c r="I43" s="6" t="n">
        <x:f>E43+F43</x:f>
        <x:v>34</x:v>
      </x:c>
      <x:c r="J43" s="5" t="n">
        <x:f>IFERROR(E43/I43,"")</x:f>
        <x:v>0.47058823529411764</x:v>
      </x:c>
      <x:c r="K43" s="5" t="n">
        <x:f>H43-J43</x:f>
        <x:v>-0.26225490196078427</x:v>
      </x:c>
      <x:c r="L43" s="7" t="n">
        <x:f>IFERROR(H43/J43,"")</x:f>
        <x:v>0.44270833333333337</x:v>
      </x:c>
      <x:c r="M43" s="7" t="n">
        <x:f>IFERROR((C43*F43)/(D43*E43),"")</x:f>
        <x:v>0.29605263157894735</x:v>
      </x:c>
      <x:c r="N43" s="7" t="n">
        <x:f>IFERROR(EXP(LN(M43)-1.96*SQRT(1/C43+1/D43+1/E43+1/F43)),"")</x:f>
        <x:v>0.0897662667571979</x:v>
      </x:c>
      <x:c r="O43" s="7" t="n">
        <x:f>IFERROR(EXP(LN(M43)+1.96*SQRT(1/C43+1/D43+1/E43+1/F43)),"")</x:f>
        <x:v>0.9763930687001857</x:v>
      </x:c>
      <x:c r="P43" s="8" t="n">
        <x:v>0.0542482223620421</x:v>
      </x:c>
      <x:c r="Q43" s="8" t="n">
        <x:v>0.19891014866082105</x:v>
      </x:c>
      <x:c r="R43" s="9" t="str">
        <x:v>통계적 후보이며 임상적 검토 필요.</x:v>
      </x:c>
      <x:c r="S43" t="str">
        <x:v>탐색</x:v>
      </x:c>
    </x:row>
    <x:row r="44" ht="36" customHeight="1">
      <x:c r="A44" t="str">
        <x:v>Baker's</x:v>
      </x:c>
      <x:c r="B44" t="str">
        <x:v>Synovitis</x:v>
      </x:c>
      <x:c r="C44" t="n">
        <x:v>8</x:v>
      </x:c>
      <x:c r="D44" t="n">
        <x:v>4</x:v>
      </x:c>
      <x:c r="E44" t="n">
        <x:v>19</x:v>
      </x:c>
      <x:c r="F44" t="n">
        <x:v>27</x:v>
      </x:c>
      <x:c r="G44" t="n">
        <x:f>C44+D44</x:f>
        <x:v>12</x:v>
      </x:c>
      <x:c r="H44" s="5" t="n">
        <x:f>IFERROR(C44/G44,"")</x:f>
        <x:v>0.6666666666666666</x:v>
      </x:c>
      <x:c r="I44" s="6" t="n">
        <x:f>E44+F44</x:f>
        <x:v>46</x:v>
      </x:c>
      <x:c r="J44" s="5" t="n">
        <x:f>IFERROR(E44/I44,"")</x:f>
        <x:v>0.41304347826086957</x:v>
      </x:c>
      <x:c r="K44" s="5" t="n">
        <x:f>H44-J44</x:f>
        <x:v>0.25362318840579706</x:v>
      </x:c>
      <x:c r="L44" s="7" t="n">
        <x:f>IFERROR(H44/J44,"")</x:f>
        <x:v>1.6140350877192982</x:v>
      </x:c>
      <x:c r="M44" s="7" t="n">
        <x:f>IFERROR((C44*F44)/(D44*E44),"")</x:f>
        <x:v>2.8421052631578947</x:v>
      </x:c>
      <x:c r="N44" s="7" t="n">
        <x:f>IFERROR(EXP(LN(M44)-1.96*SQRT(1/C44+1/D44+1/E44+1/F44)),"")</x:f>
        <x:v>0.747126765912207</x:v>
      </x:c>
      <x:c r="O44" s="7" t="n">
        <x:f>IFERROR(EXP(LN(M44)+1.96*SQRT(1/C44+1/D44+1/E44+1/F44)),"")</x:f>
        <x:v>10.811501736264898</x:v>
      </x:c>
      <x:c r="P44" s="8" t="n">
        <x:v>0.19312679750849845</x:v>
      </x:c>
      <x:c r="Q44" s="8" t="n">
        <x:v>0.3641819610160257</x:v>
      </x:c>
      <x:c r="R44" s="9" t="str">
        <x:v>통계적 후보이며 임상적 검토 필요.</x:v>
      </x:c>
      <x:c r="S44" t="str">
        <x:v>탐색</x:v>
      </x:c>
    </x:row>
    <x:row r="45" ht="36" customHeight="1">
      <x:c r="A45" t="str">
        <x:v>Effusion</x:v>
      </x:c>
      <x:c r="B45" t="str">
        <x:v>ACL</x:v>
      </x:c>
      <x:c r="C45" t="n">
        <x:v>18</x:v>
      </x:c>
      <x:c r="D45" t="n">
        <x:v>17</x:v>
      </x:c>
      <x:c r="E45" t="n">
        <x:v>6</x:v>
      </x:c>
      <x:c r="F45" t="n">
        <x:v>17</x:v>
      </x:c>
      <x:c r="G45" t="n">
        <x:f>C45+D45</x:f>
        <x:v>35</x:v>
      </x:c>
      <x:c r="H45" s="5" t="n">
        <x:f>IFERROR(C45/G45,"")</x:f>
        <x:v>0.5142857142857142</x:v>
      </x:c>
      <x:c r="I45" s="6" t="n">
        <x:f>E45+F45</x:f>
        <x:v>23</x:v>
      </x:c>
      <x:c r="J45" s="5" t="n">
        <x:f>IFERROR(E45/I45,"")</x:f>
        <x:v>0.2608695652173913</x:v>
      </x:c>
      <x:c r="K45" s="5" t="n">
        <x:f>H45-J45</x:f>
        <x:v>0.25341614906832294</x:v>
      </x:c>
      <x:c r="L45" s="7" t="n">
        <x:f>IFERROR(H45/J45,"")</x:f>
        <x:v>1.9714285714285713</x:v>
      </x:c>
      <x:c r="M45" s="7" t="n">
        <x:f>IFERROR((C45*F45)/(D45*E45),"")</x:f>
        <x:v>3</x:v>
      </x:c>
      <x:c r="N45" s="7" t="n">
        <x:f>IFERROR(EXP(LN(M45)-1.96*SQRT(1/C45+1/D45+1/E45+1/F45)),"")</x:f>
        <x:v>0.956920881824001</x:v>
      </x:c>
      <x:c r="O45" s="7" t="n">
        <x:f>IFERROR(EXP(LN(M45)+1.96*SQRT(1/C45+1/D45+1/E45+1/F45)),"")</x:f>
        <x:v>9.405166269174694</x:v>
      </x:c>
      <x:c r="P45" s="8" t="n">
        <x:v>0.06382956816223852</x:v>
      </x:c>
      <x:c r="Q45" s="8" t="n">
        <x:v>0.22172376308988118</x:v>
      </x:c>
      <x:c r="R45" s="9" t="str">
        <x:v>통계적 후보이며 임상적 검토 필요.</x:v>
      </x:c>
      <x:c r="S45" t="str">
        <x:v>탐색</x:v>
      </x:c>
    </x:row>
    <x:row r="46" ht="36" customHeight="1">
      <x:c r="A46" t="str">
        <x:v>ACL</x:v>
      </x:c>
      <x:c r="B46" t="str">
        <x:v>Fracture</x:v>
      </x:c>
      <x:c r="C46" t="n">
        <x:v>11</x:v>
      </x:c>
      <x:c r="D46" t="n">
        <x:v>13</x:v>
      </x:c>
      <x:c r="E46" t="n">
        <x:v>7</x:v>
      </x:c>
      <x:c r="F46" t="n">
        <x:v>27</x:v>
      </x:c>
      <x:c r="G46" t="n">
        <x:f>C46+D46</x:f>
        <x:v>24</x:v>
      </x:c>
      <x:c r="H46" s="5" t="n">
        <x:f>IFERROR(C46/G46,"")</x:f>
        <x:v>0.4583333333333333</x:v>
      </x:c>
      <x:c r="I46" s="6" t="n">
        <x:f>E46+F46</x:f>
        <x:v>34</x:v>
      </x:c>
      <x:c r="J46" s="5" t="n">
        <x:f>IFERROR(E46/I46,"")</x:f>
        <x:v>0.20588235294117646</x:v>
      </x:c>
      <x:c r="K46" s="5" t="n">
        <x:f>H46-J46</x:f>
        <x:v>0.25245098039215685</x:v>
      </x:c>
      <x:c r="L46" s="7" t="n">
        <x:f>IFERROR(H46/J46,"")</x:f>
        <x:v>2.2261904761904763</x:v>
      </x:c>
      <x:c r="M46" s="7" t="n">
        <x:f>IFERROR((C46*F46)/(D46*E46),"")</x:f>
        <x:v>3.2637362637362637</x:v>
      </x:c>
      <x:c r="N46" s="7" t="n">
        <x:f>IFERROR(EXP(LN(M46)-1.96*SQRT(1/C46+1/D46+1/E46+1/F46)),"")</x:f>
        <x:v>1.027463806227573</x:v>
      </x:c>
      <x:c r="O46" s="7" t="n">
        <x:f>IFERROR(EXP(LN(M46)+1.96*SQRT(1/C46+1/D46+1/E46+1/F46)),"")</x:f>
        <x:v>10.367250247321941</x:v>
      </x:c>
      <x:c r="P46" s="8" t="n">
        <x:v>0.04951836771068076</x:v>
      </x:c>
      <x:c r="Q46" s="8" t="n">
        <x:v>0.1922477805238194</x:v>
      </x:c>
      <x:c r="R46" s="9" t="str">
        <x:v>통계적 후보이며 임상적 검토 필요.</x:v>
      </x:c>
      <x:c r="S46" t="str">
        <x:v>탐색</x:v>
      </x:c>
    </x:row>
    <x:row r="47" ht="36" customHeight="1">
      <x:c r="A47" t="str">
        <x:v>Medial Meniscus</x:v>
      </x:c>
      <x:c r="B47" t="str">
        <x:v>Baker's</x:v>
      </x:c>
      <x:c r="C47" t="n">
        <x:v>9</x:v>
      </x:c>
      <x:c r="D47" t="n">
        <x:v>17</x:v>
      </x:c>
      <x:c r="E47" t="n">
        <x:v>3</x:v>
      </x:c>
      <x:c r="F47" t="n">
        <x:v>29</x:v>
      </x:c>
      <x:c r="G47" t="n">
        <x:f>C47+D47</x:f>
        <x:v>26</x:v>
      </x:c>
      <x:c r="H47" s="5" t="n">
        <x:f>IFERROR(C47/G47,"")</x:f>
        <x:v>0.34615384615384615</x:v>
      </x:c>
      <x:c r="I47" s="6" t="n">
        <x:f>E47+F47</x:f>
        <x:v>32</x:v>
      </x:c>
      <x:c r="J47" s="5" t="n">
        <x:f>IFERROR(E47/I47,"")</x:f>
        <x:v>0.09375</x:v>
      </x:c>
      <x:c r="K47" s="5" t="n">
        <x:f>H47-J47</x:f>
        <x:v>0.25240384615384615</x:v>
      </x:c>
      <x:c r="L47" s="7" t="n">
        <x:f>IFERROR(H47/J47,"")</x:f>
        <x:v>3.692307692307692</x:v>
      </x:c>
      <x:c r="M47" s="7" t="n">
        <x:f>IFERROR((C47*F47)/(D47*E47),"")</x:f>
        <x:v>5.117647058823529</x:v>
      </x:c>
      <x:c r="N47" s="7" t="n">
        <x:f>IFERROR(EXP(LN(M47)-1.96*SQRT(1/C47+1/D47+1/E47+1/F47)),"")</x:f>
        <x:v>1.2157942708521643</x:v>
      </x:c>
      <x:c r="O47" s="7" t="n">
        <x:f>IFERROR(EXP(LN(M47)+1.96*SQRT(1/C47+1/D47+1/E47+1/F47)),"")</x:f>
        <x:v>21.541729589108876</x:v>
      </x:c>
      <x:c r="P47" s="8" t="n">
        <x:v>0.024635390296751093</x:v>
      </x:c>
      <x:c r="Q47" s="8" t="n">
        <x:v>0.12700565537260383</x:v>
      </x:c>
      <x:c r="R47" s="9" t="str">
        <x:v>통계적 후보이며 임상적 검토 필요.</x:v>
      </x:c>
      <x:c r="S47" t="str">
        <x:v>탐색</x:v>
      </x:c>
    </x:row>
    <x:row r="48" ht="36" customHeight="1">
      <x:c r="A48" t="str">
        <x:v>ACL</x:v>
      </x:c>
      <x:c r="B48" t="str">
        <x:v>Effusion</x:v>
      </x:c>
      <x:c r="C48" t="n">
        <x:v>18</x:v>
      </x:c>
      <x:c r="D48" t="n">
        <x:v>6</x:v>
      </x:c>
      <x:c r="E48" t="n">
        <x:v>17</x:v>
      </x:c>
      <x:c r="F48" t="n">
        <x:v>17</x:v>
      </x:c>
      <x:c r="G48" t="n">
        <x:f>C48+D48</x:f>
        <x:v>24</x:v>
      </x:c>
      <x:c r="H48" s="5" t="n">
        <x:f>IFERROR(C48/G48,"")</x:f>
        <x:v>0.75</x:v>
      </x:c>
      <x:c r="I48" s="6" t="n">
        <x:f>E48+F48</x:f>
        <x:v>34</x:v>
      </x:c>
      <x:c r="J48" s="5" t="n">
        <x:f>IFERROR(E48/I48,"")</x:f>
        <x:v>0.5</x:v>
      </x:c>
      <x:c r="K48" s="5" t="n">
        <x:f>H48-J48</x:f>
        <x:v>0.25</x:v>
      </x:c>
      <x:c r="L48" s="7" t="n">
        <x:f>IFERROR(H48/J48,"")</x:f>
        <x:v>1.5</x:v>
      </x:c>
      <x:c r="M48" s="7" t="n">
        <x:f>IFERROR((C48*F48)/(D48*E48),"")</x:f>
        <x:v>3</x:v>
      </x:c>
      <x:c r="N48" s="7" t="n">
        <x:f>IFERROR(EXP(LN(M48)-1.96*SQRT(1/C48+1/D48+1/E48+1/F48)),"")</x:f>
        <x:v>0.956920881824001</x:v>
      </x:c>
      <x:c r="O48" s="7" t="n">
        <x:f>IFERROR(EXP(LN(M48)+1.96*SQRT(1/C48+1/D48+1/E48+1/F48)),"")</x:f>
        <x:v>9.405166269174694</x:v>
      </x:c>
      <x:c r="P48" s="8" t="n">
        <x:v>0.06382956816223852</x:v>
      </x:c>
      <x:c r="Q48" s="8" t="n">
        <x:v>0.22172376308988118</x:v>
      </x:c>
      <x:c r="R48" s="9" t="str">
        <x:v>통계적 후보이며 임상적 검토 필요.</x:v>
      </x:c>
      <x:c r="S48" t="str">
        <x:v>탐색</x:v>
      </x:c>
    </x:row>
    <x:row r="49" ht="36" customHeight="1">
      <x:c r="A49" t="str">
        <x:v>MCL</x:v>
      </x:c>
      <x:c r="B49" t="str">
        <x:v>Baker's</x:v>
      </x:c>
      <x:c r="C49" t="n">
        <x:v>0</x:v>
      </x:c>
      <x:c r="D49" t="n">
        <x:v>9</x:v>
      </x:c>
      <x:c r="E49" t="n">
        <x:v>12</x:v>
      </x:c>
      <x:c r="F49" t="n">
        <x:v>37</x:v>
      </x:c>
      <x:c r="G49" t="n">
        <x:f>C49+D49</x:f>
        <x:v>9</x:v>
      </x:c>
      <x:c r="H49" s="5" t="n">
        <x:f>IFERROR(C49/G49,"")</x:f>
        <x:v>0</x:v>
      </x:c>
      <x:c r="I49" s="6" t="n">
        <x:f>E49+F49</x:f>
        <x:v>49</x:v>
      </x:c>
      <x:c r="J49" s="5" t="n">
        <x:f>IFERROR(E49/I49,"")</x:f>
        <x:v>0.24489795918367346</x:v>
      </x:c>
      <x:c r="K49" s="5" t="n">
        <x:f>H49-J49</x:f>
        <x:v>-0.24489795918367346</x:v>
      </x:c>
      <x:c r="L49" s="7" t="n">
        <x:f>IFERROR(H49/J49,"")</x:f>
        <x:v>0</x:v>
      </x:c>
      <x:c r="M49" s="7" t="n">
        <x:f>IFERROR((C49*F49)/(D49*E49),"")</x:f>
        <x:v>0</x:v>
      </x:c>
      <x:c r="N49" s="7" t="str">
        <x:f>IFERROR(EXP(LN(M49)-1.96*SQRT(1/C49+1/D49+1/E49+1/F49)),"")</x:f>
      </x:c>
      <x:c r="O49" s="7" t="str">
        <x:f>IFERROR(EXP(LN(M49)+1.96*SQRT(1/C49+1/D49+1/E49+1/F49)),"")</x:f>
      </x:c>
      <x:c r="P49" s="8" t="n">
        <x:v>0.18070935190288215</x:v>
      </x:c>
      <x:c r="Q49" s="8" t="n">
        <x:v>0.3609641798947792</x:v>
      </x:c>
      <x:c r="R49" s="9" t="str">
        <x:v>통계적 후보이며 임상적 검토 필요.</x:v>
      </x:c>
      <x:c r="S49" t="str">
        <x:v>탐색</x:v>
      </x:c>
    </x:row>
    <x:row r="50" ht="36" customHeight="1">
      <x:c r="A50" t="str">
        <x:v>Medial OA</x:v>
      </x:c>
      <x:c r="B50" t="str">
        <x:v>Fracture</x:v>
      </x:c>
      <x:c r="C50" t="n">
        <x:v>2</x:v>
      </x:c>
      <x:c r="D50" t="n">
        <x:v>13</x:v>
      </x:c>
      <x:c r="E50" t="n">
        <x:v>16</x:v>
      </x:c>
      <x:c r="F50" t="n">
        <x:v>27</x:v>
      </x:c>
      <x:c r="G50" t="n">
        <x:f>C50+D50</x:f>
        <x:v>15</x:v>
      </x:c>
      <x:c r="H50" s="5" t="n">
        <x:f>IFERROR(C50/G50,"")</x:f>
        <x:v>0.13333333333333333</x:v>
      </x:c>
      <x:c r="I50" s="6" t="n">
        <x:f>E50+F50</x:f>
        <x:v>43</x:v>
      </x:c>
      <x:c r="J50" s="5" t="n">
        <x:f>IFERROR(E50/I50,"")</x:f>
        <x:v>0.37209302325581395</x:v>
      </x:c>
      <x:c r="K50" s="5" t="n">
        <x:f>H50-J50</x:f>
        <x:v>-0.23875968992248062</x:v>
      </x:c>
      <x:c r="L50" s="7" t="n">
        <x:f>IFERROR(H50/J50,"")</x:f>
        <x:v>0.35833333333333334</x:v>
      </x:c>
      <x:c r="M50" s="7" t="n">
        <x:f>IFERROR((C50*F50)/(D50*E50),"")</x:f>
        <x:v>0.25961538461538464</x:v>
      </x:c>
      <x:c r="N50" s="7" t="n">
        <x:f>IFERROR(EXP(LN(M50)-1.96*SQRT(1/C50+1/D50+1/E50+1/F50)),"")</x:f>
        <x:v>0.05178788374573695</x:v>
      </x:c>
      <x:c r="O50" s="7" t="n">
        <x:f>IFERROR(EXP(LN(M50)+1.96*SQRT(1/C50+1/D50+1/E50+1/F50)),"")</x:f>
        <x:v>1.3014655756143403</x:v>
      </x:c>
      <x:c r="P50" s="8" t="n">
        <x:v>0.11203555031151473</x:v>
      </x:c>
      <x:c r="Q50" s="8" t="n">
        <x:v>0.2738646785392582</x:v>
      </x:c>
      <x:c r="R50" s="9" t="str">
        <x:v>통계적 후보이며 임상적 검토 필요.</x:v>
      </x:c>
      <x:c r="S50" t="str">
        <x:v>탐색</x:v>
      </x:c>
    </x:row>
    <x:row r="51" ht="36" customHeight="1">
      <x:c r="A51" t="str">
        <x:v>Effusion</x:v>
      </x:c>
      <x:c r="B51" t="str">
        <x:v>Medial Meniscus</x:v>
      </x:c>
      <x:c r="C51" t="n">
        <x:v>19</x:v>
      </x:c>
      <x:c r="D51" t="n">
        <x:v>16</x:v>
      </x:c>
      <x:c r="E51" t="n">
        <x:v>7</x:v>
      </x:c>
      <x:c r="F51" t="n">
        <x:v>16</x:v>
      </x:c>
      <x:c r="G51" t="n">
        <x:f>C51+D51</x:f>
        <x:v>35</x:v>
      </x:c>
      <x:c r="H51" s="5" t="n">
        <x:f>IFERROR(C51/G51,"")</x:f>
        <x:v>0.5428571428571428</x:v>
      </x:c>
      <x:c r="I51" s="6" t="n">
        <x:f>E51+F51</x:f>
        <x:v>23</x:v>
      </x:c>
      <x:c r="J51" s="5" t="n">
        <x:f>IFERROR(E51/I51,"")</x:f>
        <x:v>0.30434782608695654</x:v>
      </x:c>
      <x:c r="K51" s="5" t="n">
        <x:f>H51-J51</x:f>
        <x:v>0.23850931677018627</x:v>
      </x:c>
      <x:c r="L51" s="7" t="n">
        <x:f>IFERROR(H51/J51,"")</x:f>
        <x:v>1.783673469387755</x:v>
      </x:c>
      <x:c r="M51" s="7" t="n">
        <x:f>IFERROR((C51*F51)/(D51*E51),"")</x:f>
        <x:v>2.7142857142857144</x:v>
      </x:c>
      <x:c r="N51" s="7" t="n">
        <x:f>IFERROR(EXP(LN(M51)-1.96*SQRT(1/C51+1/D51+1/E51+1/F51)),"")</x:f>
        <x:v>0.8948842066726341</x:v>
      </x:c>
      <x:c r="O51" s="7" t="n">
        <x:f>IFERROR(EXP(LN(M51)+1.96*SQRT(1/C51+1/D51+1/E51+1/F51)),"")</x:f>
        <x:v>8.232737692588005</x:v>
      </x:c>
      <x:c r="P51" s="8" t="n">
        <x:v>0.10633597600154195</x:v>
      </x:c>
      <x:c r="Q51" s="8" t="n">
        <x:v>0.2699297852346834</x:v>
      </x:c>
      <x:c r="R51" s="9" t="str">
        <x:v>통계적 후보이며 임상적 검토 필요.</x:v>
      </x:c>
      <x:c r="S51" t="str">
        <x:v>탐색</x:v>
      </x:c>
    </x:row>
    <x:row r="52" ht="36" customHeight="1">
      <x:c r="A52" t="str">
        <x:v>Lateral Meniscus</x:v>
      </x:c>
      <x:c r="B52" t="str">
        <x:v>Baker's</x:v>
      </x:c>
      <x:c r="C52" t="n">
        <x:v>8</x:v>
      </x:c>
      <x:c r="D52" t="n">
        <x:v>15</x:v>
      </x:c>
      <x:c r="E52" t="n">
        <x:v>4</x:v>
      </x:c>
      <x:c r="F52" t="n">
        <x:v>31</x:v>
      </x:c>
      <x:c r="G52" t="n">
        <x:f>C52+D52</x:f>
        <x:v>23</x:v>
      </x:c>
      <x:c r="H52" s="5" t="n">
        <x:f>IFERROR(C52/G52,"")</x:f>
        <x:v>0.34782608695652173</x:v>
      </x:c>
      <x:c r="I52" s="6" t="n">
        <x:f>E52+F52</x:f>
        <x:v>35</x:v>
      </x:c>
      <x:c r="J52" s="5" t="n">
        <x:f>IFERROR(E52/I52,"")</x:f>
        <x:v>0.11428571428571428</x:v>
      </x:c>
      <x:c r="K52" s="5" t="n">
        <x:f>H52-J52</x:f>
        <x:v>0.23354037267080746</x:v>
      </x:c>
      <x:c r="L52" s="7" t="n">
        <x:f>IFERROR(H52/J52,"")</x:f>
        <x:v>3.0434782608695654</x:v>
      </x:c>
      <x:c r="M52" s="7" t="n">
        <x:f>IFERROR((C52*F52)/(D52*E52),"")</x:f>
        <x:v>4.133333333333334</x:v>
      </x:c>
      <x:c r="N52" s="7" t="n">
        <x:f>IFERROR(EXP(LN(M52)-1.96*SQRT(1/C52+1/D52+1/E52+1/F52)),"")</x:f>
        <x:v>1.0722692886528236</x:v>
      </x:c>
      <x:c r="O52" s="7" t="n">
        <x:f>IFERROR(EXP(LN(M52)+1.96*SQRT(1/C52+1/D52+1/E52+1/F52)),"")</x:f>
        <x:v>15.932979359978669</x:v>
      </x:c>
      <x:c r="P52" s="8" t="n">
        <x:v>0.047299436677822944</x:v>
      </x:c>
      <x:c r="Q52" s="8" t="n">
        <x:v>0.1922477805238194</x:v>
      </x:c>
      <x:c r="R52" s="9" t="str">
        <x:v>통계적 후보이며 임상적 검토 필요.</x:v>
      </x:c>
      <x:c r="S52" t="str">
        <x:v>탐색</x:v>
      </x:c>
    </x:row>
    <x:row r="53" ht="36" customHeight="1">
      <x:c r="A53" t="str">
        <x:v>Medial Meniscus</x:v>
      </x:c>
      <x:c r="B53" t="str">
        <x:v>Effusion</x:v>
      </x:c>
      <x:c r="C53" t="n">
        <x:v>19</x:v>
      </x:c>
      <x:c r="D53" t="n">
        <x:v>7</x:v>
      </x:c>
      <x:c r="E53" t="n">
        <x:v>16</x:v>
      </x:c>
      <x:c r="F53" t="n">
        <x:v>16</x:v>
      </x:c>
      <x:c r="G53" t="n">
        <x:f>C53+D53</x:f>
        <x:v>26</x:v>
      </x:c>
      <x:c r="H53" s="5" t="n">
        <x:f>IFERROR(C53/G53,"")</x:f>
        <x:v>0.7307692307692307</x:v>
      </x:c>
      <x:c r="I53" s="6" t="n">
        <x:f>E53+F53</x:f>
        <x:v>32</x:v>
      </x:c>
      <x:c r="J53" s="5" t="n">
        <x:f>IFERROR(E53/I53,"")</x:f>
        <x:v>0.5</x:v>
      </x:c>
      <x:c r="K53" s="5" t="n">
        <x:f>H53-J53</x:f>
        <x:v>0.23076923076923073</x:v>
      </x:c>
      <x:c r="L53" s="7" t="n">
        <x:f>IFERROR(H53/J53,"")</x:f>
        <x:v>1.4615384615384615</x:v>
      </x:c>
      <x:c r="M53" s="7" t="n">
        <x:f>IFERROR((C53*F53)/(D53*E53),"")</x:f>
        <x:v>2.7142857142857144</x:v>
      </x:c>
      <x:c r="N53" s="7" t="n">
        <x:f>IFERROR(EXP(LN(M53)-1.96*SQRT(1/C53+1/D53+1/E53+1/F53)),"")</x:f>
        <x:v>0.8948842066726341</x:v>
      </x:c>
      <x:c r="O53" s="7" t="n">
        <x:f>IFERROR(EXP(LN(M53)+1.96*SQRT(1/C53+1/D53+1/E53+1/F53)),"")</x:f>
        <x:v>8.232737692588005</x:v>
      </x:c>
      <x:c r="P53" s="8" t="n">
        <x:v>0.10633597600154195</x:v>
      </x:c>
      <x:c r="Q53" s="8" t="n">
        <x:v>0.2699297852346834</x:v>
      </x:c>
      <x:c r="R53" s="9" t="str">
        <x:v>통계적 후보이며 임상적 검토 필요.</x:v>
      </x:c>
      <x:c r="S53" t="str">
        <x:v>탐색</x:v>
      </x:c>
    </x:row>
    <x:row r="54" ht="36" customHeight="1">
      <x:c r="A54" t="str">
        <x:v>ACL</x:v>
      </x:c>
      <x:c r="B54" t="str">
        <x:v>Medial OA</x:v>
      </x:c>
      <x:c r="C54" t="n">
        <x:v>3</x:v>
      </x:c>
      <x:c r="D54" t="n">
        <x:v>21</x:v>
      </x:c>
      <x:c r="E54" t="n">
        <x:v>12</x:v>
      </x:c>
      <x:c r="F54" t="n">
        <x:v>22</x:v>
      </x:c>
      <x:c r="G54" t="n">
        <x:f>C54+D54</x:f>
        <x:v>24</x:v>
      </x:c>
      <x:c r="H54" s="5" t="n">
        <x:f>IFERROR(C54/G54,"")</x:f>
        <x:v>0.125</x:v>
      </x:c>
      <x:c r="I54" s="6" t="n">
        <x:f>E54+F54</x:f>
        <x:v>34</x:v>
      </x:c>
      <x:c r="J54" s="5" t="n">
        <x:f>IFERROR(E54/I54,"")</x:f>
        <x:v>0.35294117647058826</x:v>
      </x:c>
      <x:c r="K54" s="5" t="n">
        <x:f>H54-J54</x:f>
        <x:v>-0.22794117647058826</x:v>
      </x:c>
      <x:c r="L54" s="7" t="n">
        <x:f>IFERROR(H54/J54,"")</x:f>
        <x:v>0.35416666666666663</x:v>
      </x:c>
      <x:c r="M54" s="7" t="n">
        <x:f>IFERROR((C54*F54)/(D54*E54),"")</x:f>
        <x:v>0.2619047619047619</x:v>
      </x:c>
      <x:c r="N54" s="7" t="n">
        <x:f>IFERROR(EXP(LN(M54)-1.96*SQRT(1/C54+1/D54+1/E54+1/F54)),"")</x:f>
        <x:v>0.0646260410524317</x:v>
      </x:c>
      <x:c r="O54" s="7" t="n">
        <x:f>IFERROR(EXP(LN(M54)+1.96*SQRT(1/C54+1/D54+1/E54+1/F54)),"")</x:f>
        <x:v>1.0614003765562399</x:v>
      </x:c>
      <x:c r="P54" s="8" t="n">
        <x:v>0.06992316868713945</x:v>
      </x:c>
      <x:c r="Q54" s="8" t="n">
        <x:v>0.2307464566675602</x:v>
      </x:c>
      <x:c r="R54" s="9" t="str">
        <x:v>통계적 후보이며 임상적 검토 필요.</x:v>
      </x:c>
      <x:c r="S54" t="str">
        <x:v>탐색</x:v>
      </x:c>
    </x:row>
    <x:row r="55" ht="36" customHeight="1">
      <x:c r="A55" t="str">
        <x:v>PF OA</x:v>
      </x:c>
      <x:c r="B55" t="str">
        <x:v>Lateral OA</x:v>
      </x:c>
      <x:c r="C55" t="n">
        <x:v>7</x:v>
      </x:c>
      <x:c r="D55" t="n">
        <x:v>14</x:v>
      </x:c>
      <x:c r="E55" t="n">
        <x:v>4</x:v>
      </x:c>
      <x:c r="F55" t="n">
        <x:v>33</x:v>
      </x:c>
      <x:c r="G55" t="n">
        <x:f>C55+D55</x:f>
        <x:v>21</x:v>
      </x:c>
      <x:c r="H55" s="5" t="n">
        <x:f>IFERROR(C55/G55,"")</x:f>
        <x:v>0.3333333333333333</x:v>
      </x:c>
      <x:c r="I55" s="6" t="n">
        <x:f>E55+F55</x:f>
        <x:v>37</x:v>
      </x:c>
      <x:c r="J55" s="5" t="n">
        <x:f>IFERROR(E55/I55,"")</x:f>
        <x:v>0.10810810810810811</x:v>
      </x:c>
      <x:c r="K55" s="5" t="n">
        <x:f>H55-J55</x:f>
        <x:v>0.2252252252252252</x:v>
      </x:c>
      <x:c r="L55" s="7" t="n">
        <x:f>IFERROR(H55/J55,"")</x:f>
        <x:v>3.083333333333333</x:v>
      </x:c>
      <x:c r="M55" s="7" t="n">
        <x:f>IFERROR((C55*F55)/(D55*E55),"")</x:f>
        <x:v>4.125</x:v>
      </x:c>
      <x:c r="N55" s="7" t="n">
        <x:f>IFERROR(EXP(LN(M55)-1.96*SQRT(1/C55+1/D55+1/E55+1/F55)),"")</x:f>
        <x:v>1.0394136413483541</x:v>
      </x:c>
      <x:c r="O55" s="7" t="n">
        <x:f>IFERROR(EXP(LN(M55)+1.96*SQRT(1/C55+1/D55+1/E55+1/F55)),"")</x:f>
        <x:v>16.370407625136508</x:v>
      </x:c>
      <x:c r="P55" s="8" t="n">
        <x:v>0.07747260900361601</x:v>
      </x:c>
      <x:c r="Q55" s="8" t="n">
        <x:v>0.23520086318026903</x:v>
      </x:c>
      <x:c r="R55" s="9" t="str">
        <x:v>통계적 후보이며 임상적 검토 필요.</x:v>
      </x:c>
      <x:c r="S55" t="str">
        <x:v>탐색</x:v>
      </x:c>
    </x:row>
    <x:row r="56" ht="36" customHeight="1">
      <x:c r="A56" t="str">
        <x:v>Fracture</x:v>
      </x:c>
      <x:c r="B56" t="str">
        <x:v>Medial OA</x:v>
      </x:c>
      <x:c r="C56" t="n">
        <x:v>2</x:v>
      </x:c>
      <x:c r="D56" t="n">
        <x:v>16</x:v>
      </x:c>
      <x:c r="E56" t="n">
        <x:v>13</x:v>
      </x:c>
      <x:c r="F56" t="n">
        <x:v>27</x:v>
      </x:c>
      <x:c r="G56" t="n">
        <x:f>C56+D56</x:f>
        <x:v>18</x:v>
      </x:c>
      <x:c r="H56" s="5" t="n">
        <x:f>IFERROR(C56/G56,"")</x:f>
        <x:v>0.1111111111111111</x:v>
      </x:c>
      <x:c r="I56" s="6" t="n">
        <x:f>E56+F56</x:f>
        <x:v>40</x:v>
      </x:c>
      <x:c r="J56" s="5" t="n">
        <x:f>IFERROR(E56/I56,"")</x:f>
        <x:v>0.325</x:v>
      </x:c>
      <x:c r="K56" s="5" t="n">
        <x:f>H56-J56</x:f>
        <x:v>-0.2138888888888889</x:v>
      </x:c>
      <x:c r="L56" s="7" t="n">
        <x:f>IFERROR(H56/J56,"")</x:f>
        <x:v>0.34188034188034183</x:v>
      </x:c>
      <x:c r="M56" s="7" t="n">
        <x:f>IFERROR((C56*F56)/(D56*E56),"")</x:f>
        <x:v>0.25961538461538464</x:v>
      </x:c>
      <x:c r="N56" s="7" t="n">
        <x:f>IFERROR(EXP(LN(M56)-1.96*SQRT(1/C56+1/D56+1/E56+1/F56)),"")</x:f>
        <x:v>0.05178788374573695</x:v>
      </x:c>
      <x:c r="O56" s="7" t="n">
        <x:f>IFERROR(EXP(LN(M56)+1.96*SQRT(1/C56+1/D56+1/E56+1/F56)),"")</x:f>
        <x:v>1.3014655756143403</x:v>
      </x:c>
      <x:c r="P56" s="8" t="n">
        <x:v>0.11203555031151473</x:v>
      </x:c>
      <x:c r="Q56" s="8" t="n">
        <x:v>0.2738646785392582</x:v>
      </x:c>
      <x:c r="R56" s="9" t="str">
        <x:v>통계적 후보이며 임상적 검토 필요.</x:v>
      </x:c>
      <x:c r="S56" t="str">
        <x:v>탐색</x:v>
      </x:c>
    </x:row>
    <x:row r="57" ht="36" customHeight="1">
      <x:c r="A57" t="str">
        <x:v>Medial OA</x:v>
      </x:c>
      <x:c r="B57" t="str">
        <x:v>MCL</x:v>
      </x:c>
      <x:c r="C57" t="n">
        <x:v>0</x:v>
      </x:c>
      <x:c r="D57" t="n">
        <x:v>15</x:v>
      </x:c>
      <x:c r="E57" t="n">
        <x:v>9</x:v>
      </x:c>
      <x:c r="F57" t="n">
        <x:v>34</x:v>
      </x:c>
      <x:c r="G57" t="n">
        <x:f>C57+D57</x:f>
        <x:v>15</x:v>
      </x:c>
      <x:c r="H57" s="5" t="n">
        <x:f>IFERROR(C57/G57,"")</x:f>
        <x:v>0</x:v>
      </x:c>
      <x:c r="I57" s="6" t="n">
        <x:f>E57+F57</x:f>
        <x:v>43</x:v>
      </x:c>
      <x:c r="J57" s="5" t="n">
        <x:f>IFERROR(E57/I57,"")</x:f>
        <x:v>0.20930232558139536</x:v>
      </x:c>
      <x:c r="K57" s="5" t="n">
        <x:f>H57-J57</x:f>
        <x:v>-0.20930232558139536</x:v>
      </x:c>
      <x:c r="L57" s="7" t="n">
        <x:f>IFERROR(H57/J57,"")</x:f>
        <x:v>0</x:v>
      </x:c>
      <x:c r="M57" s="7" t="n">
        <x:f>IFERROR((C57*F57)/(D57*E57),"")</x:f>
        <x:v>0</x:v>
      </x:c>
      <x:c r="N57" s="7" t="str">
        <x:f>IFERROR(EXP(LN(M57)-1.96*SQRT(1/C57+1/D57+1/E57+1/F57)),"")</x:f>
      </x:c>
      <x:c r="O57" s="7" t="str">
        <x:f>IFERROR(EXP(LN(M57)+1.96*SQRT(1/C57+1/D57+1/E57+1/F57)),"")</x:f>
      </x:c>
      <x:c r="P57" s="8" t="n">
        <x:v>0.09413027609365156</x:v>
      </x:c>
      <x:c r="Q57" s="8" t="n">
        <x:v>0.2559642905040719</x:v>
      </x:c>
      <x:c r="R57" s="9" t="str">
        <x:v>통계적 후보이며 임상적 검토 필요.</x:v>
      </x:c>
      <x:c r="S57" t="str">
        <x:v>탐색</x:v>
      </x:c>
    </x:row>
    <x:row r="58" ht="36" customHeight="1">
      <x:c r="A58" t="str">
        <x:v>Synovitis</x:v>
      </x:c>
      <x:c r="B58" t="str">
        <x:v>Medial OA</x:v>
      </x:c>
      <x:c r="C58" t="n">
        <x:v>10</x:v>
      </x:c>
      <x:c r="D58" t="n">
        <x:v>17</x:v>
      </x:c>
      <x:c r="E58" t="n">
        <x:v>5</x:v>
      </x:c>
      <x:c r="F58" t="n">
        <x:v>26</x:v>
      </x:c>
      <x:c r="G58" t="n">
        <x:f>C58+D58</x:f>
        <x:v>27</x:v>
      </x:c>
      <x:c r="H58" s="5" t="n">
        <x:f>IFERROR(C58/G58,"")</x:f>
        <x:v>0.37037037037037035</x:v>
      </x:c>
      <x:c r="I58" s="6" t="n">
        <x:f>E58+F58</x:f>
        <x:v>31</x:v>
      </x:c>
      <x:c r="J58" s="5" t="n">
        <x:f>IFERROR(E58/I58,"")</x:f>
        <x:v>0.16129032258064516</x:v>
      </x:c>
      <x:c r="K58" s="5" t="n">
        <x:f>H58-J58</x:f>
        <x:v>0.2090800477897252</x:v>
      </x:c>
      <x:c r="L58" s="7" t="n">
        <x:f>IFERROR(H58/J58,"")</x:f>
        <x:v>2.2962962962962963</x:v>
      </x:c>
      <x:c r="M58" s="7" t="n">
        <x:f>IFERROR((C58*F58)/(D58*E58),"")</x:f>
        <x:v>3.0588235294117645</x:v>
      </x:c>
      <x:c r="N58" s="7" t="n">
        <x:f>IFERROR(EXP(LN(M58)-1.96*SQRT(1/C58+1/D58+1/E58+1/F58)),"")</x:f>
        <x:v>0.8892574638828824</x:v>
      </x:c>
      <x:c r="O58" s="7" t="n">
        <x:f>IFERROR(EXP(LN(M58)+1.96*SQRT(1/C58+1/D58+1/E58+1/F58)),"")</x:f>
        <x:v>10.521588813243074</x:v>
      </x:c>
      <x:c r="P58" s="8" t="n">
        <x:v>0.08148506147199265</x:v>
      </x:c>
      <x:c r="Q58" s="8" t="n">
        <x:v>0.23520086318026903</x:v>
      </x:c>
      <x:c r="R58" s="9" t="str">
        <x:v>통계적 후보이며 임상적 검토 필요.</x:v>
      </x:c>
      <x:c r="S58" t="str">
        <x:v>탐색</x:v>
      </x:c>
    </x:row>
    <x:row r="59" ht="36" customHeight="1">
      <x:c r="A59" t="str">
        <x:v>Contusion</x:v>
      </x:c>
      <x:c r="B59" t="str">
        <x:v>Lateral OA</x:v>
      </x:c>
      <x:c r="C59" t="n">
        <x:v>1</x:v>
      </x:c>
      <x:c r="D59" t="n">
        <x:v>18</x:v>
      </x:c>
      <x:c r="E59" t="n">
        <x:v>10</x:v>
      </x:c>
      <x:c r="F59" t="n">
        <x:v>29</x:v>
      </x:c>
      <x:c r="G59" t="n">
        <x:f>C59+D59</x:f>
        <x:v>19</x:v>
      </x:c>
      <x:c r="H59" s="5" t="n">
        <x:f>IFERROR(C59/G59,"")</x:f>
        <x:v>0.05263157894736842</x:v>
      </x:c>
      <x:c r="I59" s="6" t="n">
        <x:f>E59+F59</x:f>
        <x:v>39</x:v>
      </x:c>
      <x:c r="J59" s="5" t="n">
        <x:f>IFERROR(E59/I59,"")</x:f>
        <x:v>0.2564102564102564</x:v>
      </x:c>
      <x:c r="K59" s="5" t="n">
        <x:f>H59-J59</x:f>
        <x:v>-0.20377867746288797</x:v>
      </x:c>
      <x:c r="L59" s="7" t="n">
        <x:f>IFERROR(H59/J59,"")</x:f>
        <x:v>0.20526315789473684</x:v>
      </x:c>
      <x:c r="M59" s="7" t="n">
        <x:f>IFERROR((C59*F59)/(D59*E59),"")</x:f>
        <x:v>0.16111111111111112</x:v>
      </x:c>
      <x:c r="N59" s="7" t="n">
        <x:f>IFERROR(EXP(LN(M59)-1.96*SQRT(1/C59+1/D59+1/E59+1/F59)),"")</x:f>
        <x:v>0.01899075465795572</x:v>
      </x:c>
      <x:c r="O59" s="7" t="n">
        <x:f>IFERROR(EXP(LN(M59)+1.96*SQRT(1/C59+1/D59+1/E59+1/F59)),"")</x:f>
        <x:v>1.3668119351214314</x:v>
      </x:c>
      <x:c r="P59" s="8" t="n">
        <x:v>0.08196393716888163</x:v>
      </x:c>
      <x:c r="Q59" s="8" t="n">
        <x:v>0.23520086318026903</x:v>
      </x:c>
      <x:c r="R59" s="9" t="str">
        <x:v>통계적 후보이며 임상적 검토 필요.</x:v>
      </x:c>
      <x:c r="S59" t="str">
        <x:v>탐색</x:v>
      </x:c>
    </x:row>
    <x:row r="60" ht="36" customHeight="1">
      <x:c r="A60" t="str">
        <x:v>Fracture</x:v>
      </x:c>
      <x:c r="B60" t="str">
        <x:v>PF OA</x:v>
      </x:c>
      <x:c r="C60" t="n">
        <x:v>4</x:v>
      </x:c>
      <x:c r="D60" t="n">
        <x:v>14</x:v>
      </x:c>
      <x:c r="E60" t="n">
        <x:v>17</x:v>
      </x:c>
      <x:c r="F60" t="n">
        <x:v>23</x:v>
      </x:c>
      <x:c r="G60" t="n">
        <x:f>C60+D60</x:f>
        <x:v>18</x:v>
      </x:c>
      <x:c r="H60" s="5" t="n">
        <x:f>IFERROR(C60/G60,"")</x:f>
        <x:v>0.2222222222222222</x:v>
      </x:c>
      <x:c r="I60" s="6" t="n">
        <x:f>E60+F60</x:f>
        <x:v>40</x:v>
      </x:c>
      <x:c r="J60" s="5" t="n">
        <x:f>IFERROR(E60/I60,"")</x:f>
        <x:v>0.425</x:v>
      </x:c>
      <x:c r="K60" s="5" t="n">
        <x:f>H60-J60</x:f>
        <x:v>-0.20277777777777778</x:v>
      </x:c>
      <x:c r="L60" s="7" t="n">
        <x:f>IFERROR(H60/J60,"")</x:f>
        <x:v>0.5228758169934641</x:v>
      </x:c>
      <x:c r="M60" s="7" t="n">
        <x:f>IFERROR((C60*F60)/(D60*E60),"")</x:f>
        <x:v>0.3865546218487395</x:v>
      </x:c>
      <x:c r="N60" s="7" t="n">
        <x:f>IFERROR(EXP(LN(M60)-1.96*SQRT(1/C60+1/D60+1/E60+1/F60)),"")</x:f>
        <x:v>0.10792316340846363</x:v>
      </x:c>
      <x:c r="O60" s="7" t="n">
        <x:f>IFERROR(EXP(LN(M60)+1.96*SQRT(1/C60+1/D60+1/E60+1/F60)),"")</x:f>
        <x:v>1.3845449943594197</x:v>
      </x:c>
      <x:c r="P60" s="8" t="n">
        <x:v>0.15576542643143176</x:v>
      </x:c>
      <x:c r="Q60" s="8" t="n">
        <x:v>0.35396477570044904</x:v>
      </x:c>
      <x:c r="R60" s="9" t="str">
        <x:v>통계적 후보이며 임상적 검토 필요.</x:v>
      </x:c>
      <x:c r="S60" t="str">
        <x:v>탐색</x:v>
      </x:c>
    </x:row>
    <x:row r="61" ht="36" customHeight="1">
      <x:c r="A61" t="str">
        <x:v>Medial Meniscus</x:v>
      </x:c>
      <x:c r="B61" t="str">
        <x:v>Synovitis</x:v>
      </x:c>
      <x:c r="C61" t="n">
        <x:v>15</x:v>
      </x:c>
      <x:c r="D61" t="n">
        <x:v>11</x:v>
      </x:c>
      <x:c r="E61" t="n">
        <x:v>12</x:v>
      </x:c>
      <x:c r="F61" t="n">
        <x:v>20</x:v>
      </x:c>
      <x:c r="G61" t="n">
        <x:f>C61+D61</x:f>
        <x:v>26</x:v>
      </x:c>
      <x:c r="H61" s="5" t="n">
        <x:f>IFERROR(C61/G61,"")</x:f>
        <x:v>0.5769230769230769</x:v>
      </x:c>
      <x:c r="I61" s="6" t="n">
        <x:f>E61+F61</x:f>
        <x:v>32</x:v>
      </x:c>
      <x:c r="J61" s="5" t="n">
        <x:f>IFERROR(E61/I61,"")</x:f>
        <x:v>0.375</x:v>
      </x:c>
      <x:c r="K61" s="5" t="n">
        <x:f>H61-J61</x:f>
        <x:v>0.20192307692307687</x:v>
      </x:c>
      <x:c r="L61" s="7" t="n">
        <x:f>IFERROR(H61/J61,"")</x:f>
        <x:v>1.5384615384615383</x:v>
      </x:c>
      <x:c r="M61" s="7" t="n">
        <x:f>IFERROR((C61*F61)/(D61*E61),"")</x:f>
        <x:v>2.272727272727273</x:v>
      </x:c>
      <x:c r="N61" s="7" t="n">
        <x:f>IFERROR(EXP(LN(M61)-1.96*SQRT(1/C61+1/D61+1/E61+1/F61)),"")</x:f>
        <x:v>0.7896505033179693</x:v>
      </x:c>
      <x:c r="O61" s="7" t="n">
        <x:f>IFERROR(EXP(LN(M61)+1.96*SQRT(1/C61+1/D61+1/E61+1/F61)),"")</x:f>
        <x:v>6.541234678499833</x:v>
      </x:c>
      <x:c r="P61" s="8" t="n">
        <x:v>0.1859512441882196</x:v>
      </x:c>
      <x:c r="Q61" s="8" t="n">
        <x:v>0.3609641798947792</x:v>
      </x:c>
      <x:c r="R61" s="9" t="str">
        <x:v>통계적 후보이며 임상적 검토 필요.</x:v>
      </x:c>
      <x:c r="S61" t="str">
        <x:v>탐색</x:v>
      </x:c>
    </x:row>
    <x:row r="62" ht="36" customHeight="1">
      <x:c r="A62" t="str">
        <x:v>Synovitis</x:v>
      </x:c>
      <x:c r="B62" t="str">
        <x:v>Medial Meniscus</x:v>
      </x:c>
      <x:c r="C62" t="n">
        <x:v>15</x:v>
      </x:c>
      <x:c r="D62" t="n">
        <x:v>12</x:v>
      </x:c>
      <x:c r="E62" t="n">
        <x:v>11</x:v>
      </x:c>
      <x:c r="F62" t="n">
        <x:v>20</x:v>
      </x:c>
      <x:c r="G62" t="n">
        <x:f>C62+D62</x:f>
        <x:v>27</x:v>
      </x:c>
      <x:c r="H62" s="5" t="n">
        <x:f>IFERROR(C62/G62,"")</x:f>
        <x:v>0.5555555555555556</x:v>
      </x:c>
      <x:c r="I62" s="6" t="n">
        <x:f>E62+F62</x:f>
        <x:v>31</x:v>
      </x:c>
      <x:c r="J62" s="5" t="n">
        <x:f>IFERROR(E62/I62,"")</x:f>
        <x:v>0.3548387096774194</x:v>
      </x:c>
      <x:c r="K62" s="5" t="n">
        <x:f>H62-J62</x:f>
        <x:v>0.2007168458781362</x:v>
      </x:c>
      <x:c r="L62" s="7" t="n">
        <x:f>IFERROR(H62/J62,"")</x:f>
        <x:v>1.5656565656565657</x:v>
      </x:c>
      <x:c r="M62" s="7" t="n">
        <x:f>IFERROR((C62*F62)/(D62*E62),"")</x:f>
        <x:v>2.272727272727273</x:v>
      </x:c>
      <x:c r="N62" s="7" t="n">
        <x:f>IFERROR(EXP(LN(M62)-1.96*SQRT(1/C62+1/D62+1/E62+1/F62)),"")</x:f>
        <x:v>0.7896505033179693</x:v>
      </x:c>
      <x:c r="O62" s="7" t="n">
        <x:f>IFERROR(EXP(LN(M62)+1.96*SQRT(1/C62+1/D62+1/E62+1/F62)),"")</x:f>
        <x:v>6.541234678499833</x:v>
      </x:c>
      <x:c r="P62" s="8" t="n">
        <x:v>0.1859512441882196</x:v>
      </x:c>
      <x:c r="Q62" s="8" t="n">
        <x:v>0.3609641798947792</x:v>
      </x:c>
      <x:c r="R62" s="9" t="str">
        <x:v>통계적 후보이며 임상적 검토 필요.</x:v>
      </x:c>
      <x:c r="S62" t="str">
        <x:v>탐색</x:v>
      </x:c>
    </x:row>
    <x:row r="63" ht="36" customHeight="1">
      <x:c r="A63" t="str">
        <x:v>Contusion</x:v>
      </x:c>
      <x:c r="B63" t="str">
        <x:v>Lateral Meniscus</x:v>
      </x:c>
      <x:c r="C63" t="n">
        <x:v>5</x:v>
      </x:c>
      <x:c r="D63" t="n">
        <x:v>14</x:v>
      </x:c>
      <x:c r="E63" t="n">
        <x:v>18</x:v>
      </x:c>
      <x:c r="F63" t="n">
        <x:v>21</x:v>
      </x:c>
      <x:c r="G63" t="n">
        <x:f>C63+D63</x:f>
        <x:v>19</x:v>
      </x:c>
      <x:c r="H63" s="5" t="n">
        <x:f>IFERROR(C63/G63,"")</x:f>
        <x:v>0.2631578947368421</x:v>
      </x:c>
      <x:c r="I63" s="6" t="n">
        <x:f>E63+F63</x:f>
        <x:v>39</x:v>
      </x:c>
      <x:c r="J63" s="5" t="n">
        <x:f>IFERROR(E63/I63,"")</x:f>
        <x:v>0.46153846153846156</x:v>
      </x:c>
      <x:c r="K63" s="5" t="n">
        <x:f>H63-J63</x:f>
        <x:v>-0.19838056680161947</x:v>
      </x:c>
      <x:c r="L63" s="7" t="n">
        <x:f>IFERROR(H63/J63,"")</x:f>
        <x:v>0.5701754385964911</x:v>
      </x:c>
      <x:c r="M63" s="7" t="n">
        <x:f>IFERROR((C63*F63)/(D63*E63),"")</x:f>
        <x:v>0.4166666666666667</x:v>
      </x:c>
      <x:c r="N63" s="7" t="n">
        <x:f>IFERROR(EXP(LN(M63)-1.96*SQRT(1/C63+1/D63+1/E63+1/F63)),"")</x:f>
        <x:v>0.12554594518334727</x:v>
      </x:c>
      <x:c r="O63" s="7" t="n">
        <x:f>IFERROR(EXP(LN(M63)+1.96*SQRT(1/C63+1/D63+1/E63+1/F63)),"")</x:f>
        <x:v>1.3828492099650815</x:v>
      </x:c>
      <x:c r="P63" s="8" t="n">
        <x:v>0.16714218671212694</x:v>
      </x:c>
      <x:c r="Q63" s="8" t="n">
        <x:v>0.35396477570044904</x:v>
      </x:c>
      <x:c r="R63" s="9" t="str">
        <x:v>통계적 후보이며 임상적 검토 필요.</x:v>
      </x:c>
      <x:c r="S63" t="str">
        <x:v>탐색</x:v>
      </x:c>
    </x:row>
    <x:row r="64" ht="36" customHeight="1">
      <x:c r="A64" t="str">
        <x:v>PF OA</x:v>
      </x:c>
      <x:c r="B64" t="str">
        <x:v>Baker's</x:v>
      </x:c>
      <x:c r="C64" t="n">
        <x:v>7</x:v>
      </x:c>
      <x:c r="D64" t="n">
        <x:v>14</x:v>
      </x:c>
      <x:c r="E64" t="n">
        <x:v>5</x:v>
      </x:c>
      <x:c r="F64" t="n">
        <x:v>32</x:v>
      </x:c>
      <x:c r="G64" t="n">
        <x:f>C64+D64</x:f>
        <x:v>21</x:v>
      </x:c>
      <x:c r="H64" s="5" t="n">
        <x:f>IFERROR(C64/G64,"")</x:f>
        <x:v>0.3333333333333333</x:v>
      </x:c>
      <x:c r="I64" s="6" t="n">
        <x:f>E64+F64</x:f>
        <x:v>37</x:v>
      </x:c>
      <x:c r="J64" s="5" t="n">
        <x:f>IFERROR(E64/I64,"")</x:f>
        <x:v>0.13513513513513514</x:v>
      </x:c>
      <x:c r="K64" s="5" t="n">
        <x:f>H64-J64</x:f>
        <x:v>0.19819819819819817</x:v>
      </x:c>
      <x:c r="L64" s="7" t="n">
        <x:f>IFERROR(H64/J64,"")</x:f>
        <x:v>2.4666666666666663</x:v>
      </x:c>
      <x:c r="M64" s="7" t="n">
        <x:f>IFERROR((C64*F64)/(D64*E64),"")</x:f>
        <x:v>3.2</x:v>
      </x:c>
      <x:c r="N64" s="7" t="n">
        <x:f>IFERROR(EXP(LN(M64)-1.96*SQRT(1/C64+1/D64+1/E64+1/F64)),"")</x:f>
        <x:v>0.8649193269560759</x:v>
      </x:c>
      <x:c r="O64" s="7" t="n">
        <x:f>IFERROR(EXP(LN(M64)+1.96*SQRT(1/C64+1/D64+1/E64+1/F64)),"")</x:f>
        <x:v>11.839254460919253</x:v>
      </x:c>
      <x:c r="P64" s="8" t="n">
        <x:v>0.09695617064548177</x:v>
      </x:c>
      <x:c r="Q64" s="8" t="n">
        <x:v>0.2559642905040719</x:v>
      </x:c>
      <x:c r="R64" s="9" t="str">
        <x:v>통계적 후보이며 임상적 검토 필요.</x:v>
      </x:c>
      <x:c r="S64" t="str">
        <x:v>탐색</x:v>
      </x:c>
    </x:row>
    <x:row r="65" ht="36" customHeight="1">
      <x:c r="A65" t="str">
        <x:v>Baker's</x:v>
      </x:c>
      <x:c r="B65" t="str">
        <x:v>MCL</x:v>
      </x:c>
      <x:c r="C65" t="n">
        <x:v>0</x:v>
      </x:c>
      <x:c r="D65" t="n">
        <x:v>12</x:v>
      </x:c>
      <x:c r="E65" t="n">
        <x:v>9</x:v>
      </x:c>
      <x:c r="F65" t="n">
        <x:v>37</x:v>
      </x:c>
      <x:c r="G65" t="n">
        <x:f>C65+D65</x:f>
        <x:v>12</x:v>
      </x:c>
      <x:c r="H65" s="5" t="n">
        <x:f>IFERROR(C65/G65,"")</x:f>
        <x:v>0</x:v>
      </x:c>
      <x:c r="I65" s="6" t="n">
        <x:f>E65+F65</x:f>
        <x:v>46</x:v>
      </x:c>
      <x:c r="J65" s="5" t="n">
        <x:f>IFERROR(E65/I65,"")</x:f>
        <x:v>0.1956521739130435</x:v>
      </x:c>
      <x:c r="K65" s="5" t="n">
        <x:f>H65-J65</x:f>
        <x:v>-0.1956521739130435</x:v>
      </x:c>
      <x:c r="L65" s="7" t="n">
        <x:f>IFERROR(H65/J65,"")</x:f>
        <x:v>0</x:v>
      </x:c>
      <x:c r="M65" s="7" t="n">
        <x:f>IFERROR((C65*F65)/(D65*E65),"")</x:f>
        <x:v>0</x:v>
      </x:c>
      <x:c r="N65" s="7" t="str">
        <x:f>IFERROR(EXP(LN(M65)-1.96*SQRT(1/C65+1/D65+1/E65+1/F65)),"")</x:f>
      </x:c>
      <x:c r="O65" s="7" t="str">
        <x:f>IFERROR(EXP(LN(M65)+1.96*SQRT(1/C65+1/D65+1/E65+1/F65)),"")</x:f>
      </x:c>
      <x:c r="P65" s="8" t="n">
        <x:v>0.18070935190288215</x:v>
      </x:c>
      <x:c r="Q65" s="8" t="n">
        <x:v>0.3609641798947792</x:v>
      </x:c>
      <x:c r="R65" s="9" t="str">
        <x:v>통계적 후보이며 임상적 검토 필요.</x:v>
      </x:c>
      <x:c r="S65" t="str">
        <x:v>탐색</x:v>
      </x:c>
    </x:row>
    <x:row r="66" ht="36" customHeight="1">
      <x:c r="A66" t="str">
        <x:v>PF OA</x:v>
      </x:c>
      <x:c r="B66" t="str">
        <x:v>Fracture</x:v>
      </x:c>
      <x:c r="C66" t="n">
        <x:v>4</x:v>
      </x:c>
      <x:c r="D66" t="n">
        <x:v>17</x:v>
      </x:c>
      <x:c r="E66" t="n">
        <x:v>14</x:v>
      </x:c>
      <x:c r="F66" t="n">
        <x:v>23</x:v>
      </x:c>
      <x:c r="G66" t="n">
        <x:f>C66+D66</x:f>
        <x:v>21</x:v>
      </x:c>
      <x:c r="H66" s="5" t="n">
        <x:f>IFERROR(C66/G66,"")</x:f>
        <x:v>0.19047619047619047</x:v>
      </x:c>
      <x:c r="I66" s="6" t="n">
        <x:f>E66+F66</x:f>
        <x:v>37</x:v>
      </x:c>
      <x:c r="J66" s="5" t="n">
        <x:f>IFERROR(E66/I66,"")</x:f>
        <x:v>0.3783783783783784</x:v>
      </x:c>
      <x:c r="K66" s="5" t="n">
        <x:f>H66-J66</x:f>
        <x:v>-0.18790218790218793</x:v>
      </x:c>
      <x:c r="L66" s="7" t="n">
        <x:f>IFERROR(H66/J66,"")</x:f>
        <x:v>0.5034013605442176</x:v>
      </x:c>
      <x:c r="M66" s="7" t="n">
        <x:f>IFERROR((C66*F66)/(D66*E66),"")</x:f>
        <x:v>0.3865546218487395</x:v>
      </x:c>
      <x:c r="N66" s="7" t="n">
        <x:f>IFERROR(EXP(LN(M66)-1.96*SQRT(1/C66+1/D66+1/E66+1/F66)),"")</x:f>
        <x:v>0.10792316340846363</x:v>
      </x:c>
      <x:c r="O66" s="7" t="n">
        <x:f>IFERROR(EXP(LN(M66)+1.96*SQRT(1/C66+1/D66+1/E66+1/F66)),"")</x:f>
        <x:v>1.3845449943594197</x:v>
      </x:c>
      <x:c r="P66" s="8" t="n">
        <x:v>0.15576542643143176</x:v>
      </x:c>
      <x:c r="Q66" s="8" t="n">
        <x:v>0.35396477570044904</x:v>
      </x:c>
      <x:c r="R66" s="9" t="str">
        <x:v>통계적 후보이며 임상적 검토 필요.</x:v>
      </x:c>
      <x:c r="S66" t="str">
        <x:v>탐색</x:v>
      </x:c>
    </x:row>
    <x:row r="67" ht="36" customHeight="1">
      <x:c r="A67" t="str">
        <x:v>Lateral Meniscus</x:v>
      </x:c>
      <x:c r="B67" t="str">
        <x:v>Contusion</x:v>
      </x:c>
      <x:c r="C67" t="n">
        <x:v>5</x:v>
      </x:c>
      <x:c r="D67" t="n">
        <x:v>18</x:v>
      </x:c>
      <x:c r="E67" t="n">
        <x:v>14</x:v>
      </x:c>
      <x:c r="F67" t="n">
        <x:v>21</x:v>
      </x:c>
      <x:c r="G67" t="n">
        <x:f>C67+D67</x:f>
        <x:v>23</x:v>
      </x:c>
      <x:c r="H67" s="5" t="n">
        <x:f>IFERROR(C67/G67,"")</x:f>
        <x:v>0.21739130434782608</x:v>
      </x:c>
      <x:c r="I67" s="6" t="n">
        <x:f>E67+F67</x:f>
        <x:v>35</x:v>
      </x:c>
      <x:c r="J67" s="5" t="n">
        <x:f>IFERROR(E67/I67,"")</x:f>
        <x:v>0.4</x:v>
      </x:c>
      <x:c r="K67" s="5" t="n">
        <x:f>H67-J67</x:f>
        <x:v>-0.18260869565217394</x:v>
      </x:c>
      <x:c r="L67" s="7" t="n">
        <x:f>IFERROR(H67/J67,"")</x:f>
        <x:v>0.5434782608695652</x:v>
      </x:c>
      <x:c r="M67" s="7" t="n">
        <x:f>IFERROR((C67*F67)/(D67*E67),"")</x:f>
        <x:v>0.4166666666666667</x:v>
      </x:c>
      <x:c r="N67" s="7" t="n">
        <x:f>IFERROR(EXP(LN(M67)-1.96*SQRT(1/C67+1/D67+1/E67+1/F67)),"")</x:f>
        <x:v>0.12554594518334727</x:v>
      </x:c>
      <x:c r="O67" s="7" t="n">
        <x:f>IFERROR(EXP(LN(M67)+1.96*SQRT(1/C67+1/D67+1/E67+1/F67)),"")</x:f>
        <x:v>1.382849209965081</x:v>
      </x:c>
      <x:c r="P67" s="8" t="n">
        <x:v>0.16714218671212694</x:v>
      </x:c>
      <x:c r="Q67" s="8" t="n">
        <x:v>0.35396477570044904</x:v>
      </x:c>
      <x:c r="R67" s="9" t="str">
        <x:v>통계적 후보이며 임상적 검토 필요.</x:v>
      </x:c>
      <x:c r="S67" t="str">
        <x:v>탐색</x:v>
      </x:c>
    </x:row>
    <x:row r="68" ht="36" customHeight="1">
      <x:c r="A68" t="str">
        <x:v>Baker's</x:v>
      </x:c>
      <x:c r="B68" t="str">
        <x:v>Fracture</x:v>
      </x:c>
      <x:c r="C68" t="n">
        <x:v>2</x:v>
      </x:c>
      <x:c r="D68" t="n">
        <x:v>10</x:v>
      </x:c>
      <x:c r="E68" t="n">
        <x:v>16</x:v>
      </x:c>
      <x:c r="F68" t="n">
        <x:v>30</x:v>
      </x:c>
      <x:c r="G68" t="n">
        <x:f>C68+D68</x:f>
        <x:v>12</x:v>
      </x:c>
      <x:c r="H68" s="5" t="n">
        <x:f>IFERROR(C68/G68,"")</x:f>
        <x:v>0.16666666666666666</x:v>
      </x:c>
      <x:c r="I68" s="6" t="n">
        <x:f>E68+F68</x:f>
        <x:v>46</x:v>
      </x:c>
      <x:c r="J68" s="5" t="n">
        <x:f>IFERROR(E68/I68,"")</x:f>
        <x:v>0.34782608695652173</x:v>
      </x:c>
      <x:c r="K68" s="5" t="n">
        <x:f>H68-J68</x:f>
        <x:v>-0.18115942028985507</x:v>
      </x:c>
      <x:c r="L68" s="7" t="n">
        <x:f>IFERROR(H68/J68,"")</x:f>
        <x:v>0.47916666666666663</x:v>
      </x:c>
      <x:c r="M68" s="7" t="n">
        <x:f>IFERROR((C68*F68)/(D68*E68),"")</x:f>
        <x:v>0.375</x:v>
      </x:c>
      <x:c r="N68" s="7" t="n">
        <x:f>IFERROR(EXP(LN(M68)-1.96*SQRT(1/C68+1/D68+1/E68+1/F68)),"")</x:f>
        <x:v>0.07310963582899678</x:v>
      </x:c>
      <x:c r="O68" s="7" t="n">
        <x:f>IFERROR(EXP(LN(M68)+1.96*SQRT(1/C68+1/D68+1/E68+1/F68)),"")</x:f>
        <x:v>1.923481062454222</x:v>
      </x:c>
      <x:c r="P68" s="8" t="n">
        <x:v>0.3067996229070676</x:v>
      </x:c>
      <x:c r="Q68" s="8" t="n">
        <x:v>0.5062193777966615</x:v>
      </x:c>
      <x:c r="R68" s="9" t="str">
        <x:v>통계적 후보이며 임상적 검토 필요.</x:v>
      </x:c>
      <x:c r="S68" t="str">
        <x:v>탐색</x:v>
      </x:c>
    </x:row>
    <x:row r="69" ht="36" customHeight="1">
      <x:c r="A69" t="str">
        <x:v>Fracture</x:v>
      </x:c>
      <x:c r="B69" t="str">
        <x:v>Effusion</x:v>
      </x:c>
      <x:c r="C69" t="n">
        <x:v>13</x:v>
      </x:c>
      <x:c r="D69" t="n">
        <x:v>5</x:v>
      </x:c>
      <x:c r="E69" t="n">
        <x:v>22</x:v>
      </x:c>
      <x:c r="F69" t="n">
        <x:v>18</x:v>
      </x:c>
      <x:c r="G69" t="n">
        <x:f>C69+D69</x:f>
        <x:v>18</x:v>
      </x:c>
      <x:c r="H69" s="5" t="n">
        <x:f>IFERROR(C69/G69,"")</x:f>
        <x:v>0.7222222222222222</x:v>
      </x:c>
      <x:c r="I69" s="6" t="n">
        <x:f>E69+F69</x:f>
        <x:v>40</x:v>
      </x:c>
      <x:c r="J69" s="5" t="n">
        <x:f>IFERROR(E69/I69,"")</x:f>
        <x:v>0.55</x:v>
      </x:c>
      <x:c r="K69" s="5" t="n">
        <x:f>H69-J69</x:f>
        <x:v>0.17222222222222217</x:v>
      </x:c>
      <x:c r="L69" s="7" t="n">
        <x:f>IFERROR(H69/J69,"")</x:f>
        <x:v>1.313131313131313</x:v>
      </x:c>
      <x:c r="M69" s="7" t="n">
        <x:f>IFERROR((C69*F69)/(D69*E69),"")</x:f>
        <x:v>2.1272727272727274</x:v>
      </x:c>
      <x:c r="N69" s="7" t="n">
        <x:f>IFERROR(EXP(LN(M69)-1.96*SQRT(1/C69+1/D69+1/E69+1/F69)),"")</x:f>
        <x:v>0.6375681259485746</x:v>
      </x:c>
      <x:c r="O69" s="7" t="n">
        <x:f>IFERROR(EXP(LN(M69)+1.96*SQRT(1/C69+1/D69+1/E69+1/F69)),"")</x:f>
        <x:v>7.0977344569501755</x:v>
      </x:c>
      <x:c r="P69" s="8" t="n">
        <x:v>0.25721487721245084</x:v>
      </x:c>
      <x:c r="Q69" s="8" t="n">
        <x:v>0.4715606082228266</x:v>
      </x:c>
      <x:c r="R69" s="9" t="str">
        <x:v>통계적 후보이며 임상적 검토 필요.</x:v>
      </x:c>
      <x:c r="S69" t="str">
        <x:v>탐색</x:v>
      </x:c>
    </x:row>
    <x:row r="70" ht="36" customHeight="1">
      <x:c r="A70" t="str">
        <x:v>Effusion</x:v>
      </x:c>
      <x:c r="B70" t="str">
        <x:v>Lateral OA</x:v>
      </x:c>
      <x:c r="C70" t="n">
        <x:v>9</x:v>
      </x:c>
      <x:c r="D70" t="n">
        <x:v>26</x:v>
      </x:c>
      <x:c r="E70" t="n">
        <x:v>2</x:v>
      </x:c>
      <x:c r="F70" t="n">
        <x:v>21</x:v>
      </x:c>
      <x:c r="G70" t="n">
        <x:f>C70+D70</x:f>
        <x:v>35</x:v>
      </x:c>
      <x:c r="H70" s="5" t="n">
        <x:f>IFERROR(C70/G70,"")</x:f>
        <x:v>0.2571428571428571</x:v>
      </x:c>
      <x:c r="I70" s="6" t="n">
        <x:f>E70+F70</x:f>
        <x:v>23</x:v>
      </x:c>
      <x:c r="J70" s="5" t="n">
        <x:f>IFERROR(E70/I70,"")</x:f>
        <x:v>0.08695652173913043</x:v>
      </x:c>
      <x:c r="K70" s="5" t="n">
        <x:f>H70-J70</x:f>
        <x:v>0.17018633540372669</x:v>
      </x:c>
      <x:c r="L70" s="7" t="n">
        <x:f>IFERROR(H70/J70,"")</x:f>
        <x:v>2.957142857142857</x:v>
      </x:c>
      <x:c r="M70" s="7" t="n">
        <x:f>IFERROR((C70*F70)/(D70*E70),"")</x:f>
        <x:v>3.6346153846153846</x:v>
      </x:c>
      <x:c r="N70" s="7" t="n">
        <x:f>IFERROR(EXP(LN(M70)-1.96*SQRT(1/C70+1/D70+1/E70+1/F70)),"")</x:f>
        <x:v>0.707471723445915</x:v>
      </x:c>
      <x:c r="O70" s="7" t="n">
        <x:f>IFERROR(EXP(LN(M70)+1.96*SQRT(1/C70+1/D70+1/E70+1/F70)),"")</x:f>
        <x:v>18.672730734365185</x:v>
      </x:c>
      <x:c r="P70" s="8" t="n">
        <x:v>0.1716192851880965</x:v>
      </x:c>
      <x:c r="Q70" s="8" t="n">
        <x:v>0.35396477570044904</x:v>
      </x:c>
      <x:c r="R70" s="9" t="str">
        <x:v>통계적 후보이며 임상적 검토 필요.</x:v>
      </x:c>
      <x:c r="S70" t="str">
        <x:v>탐색</x:v>
      </x:c>
    </x:row>
    <x:row r="71" ht="36" customHeight="1">
      <x:c r="A71" t="str">
        <x:v>PF OA</x:v>
      </x:c>
      <x:c r="B71" t="str">
        <x:v>MCL</x:v>
      </x:c>
      <x:c r="C71" t="n">
        <x:v>1</x:v>
      </x:c>
      <x:c r="D71" t="n">
        <x:v>20</x:v>
      </x:c>
      <x:c r="E71" t="n">
        <x:v>8</x:v>
      </x:c>
      <x:c r="F71" t="n">
        <x:v>29</x:v>
      </x:c>
      <x:c r="G71" t="n">
        <x:f>C71+D71</x:f>
        <x:v>21</x:v>
      </x:c>
      <x:c r="H71" s="5" t="n">
        <x:f>IFERROR(C71/G71,"")</x:f>
        <x:v>0.047619047619047616</x:v>
      </x:c>
      <x:c r="I71" s="6" t="n">
        <x:f>E71+F71</x:f>
        <x:v>37</x:v>
      </x:c>
      <x:c r="J71" s="5" t="n">
        <x:f>IFERROR(E71/I71,"")</x:f>
        <x:v>0.21621621621621623</x:v>
      </x:c>
      <x:c r="K71" s="5" t="n">
        <x:f>H71-J71</x:f>
        <x:v>-0.1685971685971686</x:v>
      </x:c>
      <x:c r="L71" s="7" t="n">
        <x:f>IFERROR(H71/J71,"")</x:f>
        <x:v>0.2202380952380952</x:v>
      </x:c>
      <x:c r="M71" s="7" t="n">
        <x:f>IFERROR((C71*F71)/(D71*E71),"")</x:f>
        <x:v>0.18125</x:v>
      </x:c>
      <x:c r="N71" s="7" t="n">
        <x:f>IFERROR(EXP(LN(M71)-1.96*SQRT(1/C71+1/D71+1/E71+1/F71)),"")</x:f>
        <x:v>0.020996130483169312</x:v>
      </x:c>
      <x:c r="O71" s="7" t="n">
        <x:f>IFERROR(EXP(LN(M71)+1.96*SQRT(1/C71+1/D71+1/E71+1/F71)),"")</x:f>
        <x:v>1.564648425400771</x:v>
      </x:c>
      <x:c r="P71" s="8" t="n">
        <x:v>0.13541984502502163</x:v>
      </x:c>
      <x:c r="Q71" s="8" t="n">
        <x:v>0.3192039204161224</x:v>
      </x:c>
      <x:c r="R71" s="9" t="str">
        <x:v>통계적 후보이며 임상적 검토 필요.</x:v>
      </x:c>
      <x:c r="S71" t="str">
        <x:v>탐색</x:v>
      </x:c>
    </x:row>
    <x:row r="72" ht="36" customHeight="1">
      <x:c r="A72" t="str">
        <x:v>MCL</x:v>
      </x:c>
      <x:c r="B72" t="str">
        <x:v>ACL</x:v>
      </x:c>
      <x:c r="C72" t="n">
        <x:v>5</x:v>
      </x:c>
      <x:c r="D72" t="n">
        <x:v>4</x:v>
      </x:c>
      <x:c r="E72" t="n">
        <x:v>19</x:v>
      </x:c>
      <x:c r="F72" t="n">
        <x:v>30</x:v>
      </x:c>
      <x:c r="G72" t="n">
        <x:f>C72+D72</x:f>
        <x:v>9</x:v>
      </x:c>
      <x:c r="H72" s="5" t="n">
        <x:f>IFERROR(C72/G72,"")</x:f>
        <x:v>0.5555555555555556</x:v>
      </x:c>
      <x:c r="I72" s="6" t="n">
        <x:f>E72+F72</x:f>
        <x:v>49</x:v>
      </x:c>
      <x:c r="J72" s="5" t="n">
        <x:f>IFERROR(E72/I72,"")</x:f>
        <x:v>0.3877551020408163</x:v>
      </x:c>
      <x:c r="K72" s="5" t="n">
        <x:f>H72-J72</x:f>
        <x:v>0.16780045351473927</x:v>
      </x:c>
      <x:c r="L72" s="7" t="n">
        <x:f>IFERROR(H72/J72,"")</x:f>
        <x:v>1.432748538011696</x:v>
      </x:c>
      <x:c r="M72" s="7" t="n">
        <x:f>IFERROR((C72*F72)/(D72*E72),"")</x:f>
        <x:v>1.9736842105263157</x:v>
      </x:c>
      <x:c r="N72" s="7" t="n">
        <x:f>IFERROR(EXP(LN(M72)-1.96*SQRT(1/C72+1/D72+1/E72+1/F72)),"")</x:f>
        <x:v>0.4700074718543286</x:v>
      </x:c>
      <x:c r="O72" s="7" t="n">
        <x:f>IFERROR(EXP(LN(M72)+1.96*SQRT(1/C72+1/D72+1/E72+1/F72)),"")</x:f>
        <x:v>8.288015821348925</x:v>
      </x:c>
      <x:c r="P72" s="8" t="n">
        <x:v>0.466719769746168</x:v>
      </x:c>
      <x:c r="Q72" s="8" t="n">
        <x:v>0.6619764589053057</x:v>
      </x:c>
      <x:c r="R72" s="9" t="str">
        <x:v>통계적 후보이며 임상적 검토 필요.</x:v>
      </x:c>
      <x:c r="S72" t="str">
        <x:v>탐색</x:v>
      </x:c>
    </x:row>
    <x:row r="73" ht="36" customHeight="1">
      <x:c r="A73" t="str">
        <x:v>Synovitis</x:v>
      </x:c>
      <x:c r="B73" t="str">
        <x:v>Baker's</x:v>
      </x:c>
      <x:c r="C73" t="n">
        <x:v>8</x:v>
      </x:c>
      <x:c r="D73" t="n">
        <x:v>19</x:v>
      </x:c>
      <x:c r="E73" t="n">
        <x:v>4</x:v>
      </x:c>
      <x:c r="F73" t="n">
        <x:v>27</x:v>
      </x:c>
      <x:c r="G73" t="n">
        <x:f>C73+D73</x:f>
        <x:v>27</x:v>
      </x:c>
      <x:c r="H73" s="5" t="n">
        <x:f>IFERROR(C73/G73,"")</x:f>
        <x:v>0.2962962962962963</x:v>
      </x:c>
      <x:c r="I73" s="6" t="n">
        <x:f>E73+F73</x:f>
        <x:v>31</x:v>
      </x:c>
      <x:c r="J73" s="5" t="n">
        <x:f>IFERROR(E73/I73,"")</x:f>
        <x:v>0.12903225806451613</x:v>
      </x:c>
      <x:c r="K73" s="5" t="n">
        <x:f>H73-J73</x:f>
        <x:v>0.16726403823178015</x:v>
      </x:c>
      <x:c r="L73" s="7" t="n">
        <x:f>IFERROR(H73/J73,"")</x:f>
        <x:v>2.2962962962962963</x:v>
      </x:c>
      <x:c r="M73" s="7" t="n">
        <x:f>IFERROR((C73*F73)/(D73*E73),"")</x:f>
        <x:v>2.8421052631578947</x:v>
      </x:c>
      <x:c r="N73" s="7" t="n">
        <x:f>IFERROR(EXP(LN(M73)-1.96*SQRT(1/C73+1/D73+1/E73+1/F73)),"")</x:f>
        <x:v>0.747126765912207</x:v>
      </x:c>
      <x:c r="O73" s="7" t="n">
        <x:f>IFERROR(EXP(LN(M73)+1.96*SQRT(1/C73+1/D73+1/E73+1/F73)),"")</x:f>
        <x:v>10.811501736264898</x:v>
      </x:c>
      <x:c r="P73" s="8" t="n">
        <x:v>0.19312679750849845</x:v>
      </x:c>
      <x:c r="Q73" s="8" t="n">
        <x:v>0.3641819610160257</x:v>
      </x:c>
      <x:c r="R73" s="9" t="str">
        <x:v>통계적 후보이며 임상적 검토 필요.</x:v>
      </x:c>
      <x:c r="S73" t="str">
        <x:v>탐색</x:v>
      </x:c>
    </x:row>
    <x:row r="74" ht="36" customHeight="1">
      <x:c r="A74" t="str">
        <x:v>Lateral Meniscus</x:v>
      </x:c>
      <x:c r="B74" t="str">
        <x:v>Synovitis</x:v>
      </x:c>
      <x:c r="C74" t="n">
        <x:v>13</x:v>
      </x:c>
      <x:c r="D74" t="n">
        <x:v>10</x:v>
      </x:c>
      <x:c r="E74" t="n">
        <x:v>14</x:v>
      </x:c>
      <x:c r="F74" t="n">
        <x:v>21</x:v>
      </x:c>
      <x:c r="G74" t="n">
        <x:f>C74+D74</x:f>
        <x:v>23</x:v>
      </x:c>
      <x:c r="H74" s="5" t="n">
        <x:f>IFERROR(C74/G74,"")</x:f>
        <x:v>0.5652173913043478</x:v>
      </x:c>
      <x:c r="I74" s="6" t="n">
        <x:f>E74+F74</x:f>
        <x:v>35</x:v>
      </x:c>
      <x:c r="J74" s="5" t="n">
        <x:f>IFERROR(E74/I74,"")</x:f>
        <x:v>0.4</x:v>
      </x:c>
      <x:c r="K74" s="5" t="n">
        <x:f>H74-J74</x:f>
        <x:v>0.16521739130434776</x:v>
      </x:c>
      <x:c r="L74" s="7" t="n">
        <x:f>IFERROR(H74/J74,"")</x:f>
        <x:v>1.4130434782608694</x:v>
      </x:c>
      <x:c r="M74" s="7" t="n">
        <x:f>IFERROR((C74*F74)/(D74*E74),"")</x:f>
        <x:v>1.95</x:v>
      </x:c>
      <x:c r="N74" s="7" t="n">
        <x:f>IFERROR(EXP(LN(M74)-1.96*SQRT(1/C74+1/D74+1/E74+1/F74)),"")</x:f>
        <x:v>0.6713443197989742</x:v>
      </x:c>
      <x:c r="O74" s="7" t="n">
        <x:f>IFERROR(EXP(LN(M74)+1.96*SQRT(1/C74+1/D74+1/E74+1/F74)),"")</x:f>
        <x:v>5.664008598655622</x:v>
      </x:c>
      <x:c r="P74" s="8" t="n">
        <x:v>0.28462804421032606</x:v>
      </x:c>
      <x:c r="Q74" s="8" t="n">
        <x:v>0.4874185140876647</x:v>
      </x:c>
      <x:c r="R74" s="9" t="str">
        <x:v>통계적 후보이며 임상적 검토 필요.</x:v>
      </x:c>
      <x:c r="S74" t="str">
        <x:v>탐색</x:v>
      </x:c>
    </x:row>
    <x:row r="75" ht="36" customHeight="1">
      <x:c r="A75" t="str">
        <x:v>ACL</x:v>
      </x:c>
      <x:c r="B75" t="str">
        <x:v>Medial Meniscus</x:v>
      </x:c>
      <x:c r="C75" t="n">
        <x:v>13</x:v>
      </x:c>
      <x:c r="D75" t="n">
        <x:v>11</x:v>
      </x:c>
      <x:c r="E75" t="n">
        <x:v>13</x:v>
      </x:c>
      <x:c r="F75" t="n">
        <x:v>21</x:v>
      </x:c>
      <x:c r="G75" t="n">
        <x:f>C75+D75</x:f>
        <x:v>24</x:v>
      </x:c>
      <x:c r="H75" s="5" t="n">
        <x:f>IFERROR(C75/G75,"")</x:f>
        <x:v>0.5416666666666666</x:v>
      </x:c>
      <x:c r="I75" s="6" t="n">
        <x:f>E75+F75</x:f>
        <x:v>34</x:v>
      </x:c>
      <x:c r="J75" s="5" t="n">
        <x:f>IFERROR(E75/I75,"")</x:f>
        <x:v>0.38235294117647056</x:v>
      </x:c>
      <x:c r="K75" s="5" t="n">
        <x:f>H75-J75</x:f>
        <x:v>0.15931372549019607</x:v>
      </x:c>
      <x:c r="L75" s="7" t="n">
        <x:f>IFERROR(H75/J75,"")</x:f>
        <x:v>1.4166666666666667</x:v>
      </x:c>
      <x:c r="M75" s="7" t="n">
        <x:f>IFERROR((C75*F75)/(D75*E75),"")</x:f>
        <x:v>1.9090909090909092</x:v>
      </x:c>
      <x:c r="N75" s="7" t="n">
        <x:f>IFERROR(EXP(LN(M75)-1.96*SQRT(1/C75+1/D75+1/E75+1/F75)),"")</x:f>
        <x:v>0.6615451123039895</x:v>
      </x:c>
      <x:c r="O75" s="7" t="n">
        <x:f>IFERROR(EXP(LN(M75)+1.96*SQRT(1/C75+1/D75+1/E75+1/F75)),"")</x:f>
        <x:v>5.509266157949929</x:v>
      </x:c>
      <x:c r="P75" s="8" t="n">
        <x:v>0.28802003105180185</x:v>
      </x:c>
      <x:c r="Q75" s="8" t="n">
        <x:v>0.4874185140876647</x:v>
      </x:c>
      <x:c r="R75" s="9" t="str">
        <x:v>통계적 후보이며 임상적 검토 필요.</x:v>
      </x:c>
      <x:c r="S75" t="str">
        <x:v>탐색</x:v>
      </x:c>
    </x:row>
    <x:row r="76" ht="36" customHeight="1">
      <x:c r="A76" t="str">
        <x:v>Synovitis</x:v>
      </x:c>
      <x:c r="B76" t="str">
        <x:v>Lateral Meniscus</x:v>
      </x:c>
      <x:c r="C76" t="n">
        <x:v>13</x:v>
      </x:c>
      <x:c r="D76" t="n">
        <x:v>14</x:v>
      </x:c>
      <x:c r="E76" t="n">
        <x:v>10</x:v>
      </x:c>
      <x:c r="F76" t="n">
        <x:v>21</x:v>
      </x:c>
      <x:c r="G76" t="n">
        <x:f>C76+D76</x:f>
        <x:v>27</x:v>
      </x:c>
      <x:c r="H76" s="5" t="n">
        <x:f>IFERROR(C76/G76,"")</x:f>
        <x:v>0.48148148148148145</x:v>
      </x:c>
      <x:c r="I76" s="6" t="n">
        <x:f>E76+F76</x:f>
        <x:v>31</x:v>
      </x:c>
      <x:c r="J76" s="5" t="n">
        <x:f>IFERROR(E76/I76,"")</x:f>
        <x:v>0.3225806451612903</x:v>
      </x:c>
      <x:c r="K76" s="5" t="n">
        <x:f>H76-J76</x:f>
        <x:v>0.15890083632019114</x:v>
      </x:c>
      <x:c r="L76" s="7" t="n">
        <x:f>IFERROR(H76/J76,"")</x:f>
        <x:v>1.4925925925925925</x:v>
      </x:c>
      <x:c r="M76" s="7" t="n">
        <x:f>IFERROR((C76*F76)/(D76*E76),"")</x:f>
        <x:v>1.95</x:v>
      </x:c>
      <x:c r="N76" s="7" t="n">
        <x:f>IFERROR(EXP(LN(M76)-1.96*SQRT(1/C76+1/D76+1/E76+1/F76)),"")</x:f>
        <x:v>0.6713443197989742</x:v>
      </x:c>
      <x:c r="O76" s="7" t="n">
        <x:f>IFERROR(EXP(LN(M76)+1.96*SQRT(1/C76+1/D76+1/E76+1/F76)),"")</x:f>
        <x:v>5.664008598655622</x:v>
      </x:c>
      <x:c r="P76" s="8" t="n">
        <x:v>0.28462804421032606</x:v>
      </x:c>
      <x:c r="Q76" s="8" t="n">
        <x:v>0.4874185140876647</x:v>
      </x:c>
      <x:c r="R76" s="9" t="str">
        <x:v>통계적 후보이며 임상적 검토 필요.</x:v>
      </x:c>
      <x:c r="S76" t="str">
        <x:v>탐색</x:v>
      </x:c>
    </x:row>
    <x:row r="77" ht="36" customHeight="1">
      <x:c r="A77" t="str">
        <x:v>MCL</x:v>
      </x:c>
      <x:c r="B77" t="str">
        <x:v>Fracture</x:v>
      </x:c>
      <x:c r="C77" t="n">
        <x:v>4</x:v>
      </x:c>
      <x:c r="D77" t="n">
        <x:v>5</x:v>
      </x:c>
      <x:c r="E77" t="n">
        <x:v>14</x:v>
      </x:c>
      <x:c r="F77" t="n">
        <x:v>35</x:v>
      </x:c>
      <x:c r="G77" t="n">
        <x:f>C77+D77</x:f>
        <x:v>9</x:v>
      </x:c>
      <x:c r="H77" s="5" t="n">
        <x:f>IFERROR(C77/G77,"")</x:f>
        <x:v>0.4444444444444444</x:v>
      </x:c>
      <x:c r="I77" s="6" t="n">
        <x:f>E77+F77</x:f>
        <x:v>49</x:v>
      </x:c>
      <x:c r="J77" s="5" t="n">
        <x:f>IFERROR(E77/I77,"")</x:f>
        <x:v>0.2857142857142857</x:v>
      </x:c>
      <x:c r="K77" s="5" t="n">
        <x:f>H77-J77</x:f>
        <x:v>0.15873015873015872</x:v>
      </x:c>
      <x:c r="L77" s="7" t="n">
        <x:f>IFERROR(H77/J77,"")</x:f>
        <x:v>1.5555555555555556</x:v>
      </x:c>
      <x:c r="M77" s="7" t="n">
        <x:f>IFERROR((C77*F77)/(D77*E77),"")</x:f>
        <x:v>2</x:v>
      </x:c>
      <x:c r="N77" s="7" t="n">
        <x:f>IFERROR(EXP(LN(M77)-1.96*SQRT(1/C77+1/D77+1/E77+1/F77)),"")</x:f>
        <x:v>0.4674664381374232</x:v>
      </x:c>
      <x:c r="O77" s="7" t="n">
        <x:f>IFERROR(EXP(LN(M77)+1.96*SQRT(1/C77+1/D77+1/E77+1/F77)),"")</x:f>
        <x:v>8.556764023397337</x:v>
      </x:c>
      <x:c r="P77" s="8" t="n">
        <x:v>0.4380079257112412</x:v>
      </x:c>
      <x:c r="Q77" s="8" t="n">
        <x:v>0.6570118885668618</x:v>
      </x:c>
      <x:c r="R77" s="9" t="str">
        <x:v>통계적 후보이며 임상적 검토 필요.</x:v>
      </x:c>
      <x:c r="S77" t="str">
        <x:v>탐색</x:v>
      </x:c>
    </x:row>
    <x:row r="78" ht="36" customHeight="1">
      <x:c r="A78" t="str">
        <x:v>Lateral OA</x:v>
      </x:c>
      <x:c r="B78" t="str">
        <x:v>Fracture</x:v>
      </x:c>
      <x:c r="C78" t="n">
        <x:v>2</x:v>
      </x:c>
      <x:c r="D78" t="n">
        <x:v>9</x:v>
      </x:c>
      <x:c r="E78" t="n">
        <x:v>16</x:v>
      </x:c>
      <x:c r="F78" t="n">
        <x:v>31</x:v>
      </x:c>
      <x:c r="G78" t="n">
        <x:f>C78+D78</x:f>
        <x:v>11</x:v>
      </x:c>
      <x:c r="H78" s="5" t="n">
        <x:f>IFERROR(C78/G78,"")</x:f>
        <x:v>0.18181818181818182</x:v>
      </x:c>
      <x:c r="I78" s="6" t="n">
        <x:f>E78+F78</x:f>
        <x:v>47</x:v>
      </x:c>
      <x:c r="J78" s="5" t="n">
        <x:f>IFERROR(E78/I78,"")</x:f>
        <x:v>0.3404255319148936</x:v>
      </x:c>
      <x:c r="K78" s="5" t="n">
        <x:f>H78-J78</x:f>
        <x:v>-0.15860735009671179</x:v>
      </x:c>
      <x:c r="L78" s="7" t="n">
        <x:f>IFERROR(H78/J78,"")</x:f>
        <x:v>0.5340909090909092</x:v>
      </x:c>
      <x:c r="M78" s="7" t="n">
        <x:f>IFERROR((C78*F78)/(D78*E78),"")</x:f>
        <x:v>0.4305555555555556</x:v>
      </x:c>
      <x:c r="N78" s="7" t="n">
        <x:f>IFERROR(EXP(LN(M78)-1.96*SQRT(1/C78+1/D78+1/E78+1/F78)),"")</x:f>
        <x:v>0.0829603146050478</x:v>
      </x:c>
      <x:c r="O78" s="7" t="n">
        <x:f>IFERROR(EXP(LN(M78)+1.96*SQRT(1/C78+1/D78+1/E78+1/F78)),"")</x:f>
        <x:v>2.2345393372998807</x:v>
      </x:c>
      <x:c r="P78" s="8" t="n">
        <x:v>0.4738358583511463</x:v>
      </x:c>
      <x:c r="Q78" s="8" t="n">
        <x:v>0.6619764589053057</x:v>
      </x:c>
      <x:c r="R78" s="9" t="str">
        <x:v>통계적 후보이며 임상적 검토 필요.</x:v>
      </x:c>
      <x:c r="S78" t="str">
        <x:v>탐색</x:v>
      </x:c>
    </x:row>
    <x:row r="79" ht="36" customHeight="1">
      <x:c r="A79" t="str">
        <x:v>MCL</x:v>
      </x:c>
      <x:c r="B79" t="str">
        <x:v>Synovitis</x:v>
      </x:c>
      <x:c r="C79" t="n">
        <x:v>3</x:v>
      </x:c>
      <x:c r="D79" t="n">
        <x:v>6</x:v>
      </x:c>
      <x:c r="E79" t="n">
        <x:v>24</x:v>
      </x:c>
      <x:c r="F79" t="n">
        <x:v>25</x:v>
      </x:c>
      <x:c r="G79" t="n">
        <x:f>C79+D79</x:f>
        <x:v>9</x:v>
      </x:c>
      <x:c r="H79" s="5" t="n">
        <x:f>IFERROR(C79/G79,"")</x:f>
        <x:v>0.3333333333333333</x:v>
      </x:c>
      <x:c r="I79" s="6" t="n">
        <x:f>E79+F79</x:f>
        <x:v>49</x:v>
      </x:c>
      <x:c r="J79" s="5" t="n">
        <x:f>IFERROR(E79/I79,"")</x:f>
        <x:v>0.4897959183673469</x:v>
      </x:c>
      <x:c r="K79" s="5" t="n">
        <x:f>H79-J79</x:f>
        <x:v>-0.1564625850340136</x:v>
      </x:c>
      <x:c r="L79" s="7" t="n">
        <x:f>IFERROR(H79/J79,"")</x:f>
        <x:v>0.6805555555555556</x:v>
      </x:c>
      <x:c r="M79" s="7" t="n">
        <x:f>IFERROR((C79*F79)/(D79*E79),"")</x:f>
        <x:v>0.5208333333333334</x:v>
      </x:c>
      <x:c r="N79" s="7" t="n">
        <x:f>IFERROR(EXP(LN(M79)-1.96*SQRT(1/C79+1/D79+1/E79+1/F79)),"")</x:f>
        <x:v>0.11681546073717011</x:v>
      </x:c>
      <x:c r="O79" s="7" t="n">
        <x:f>IFERROR(EXP(LN(M79)+1.96*SQRT(1/C79+1/D79+1/E79+1/F79)),"")</x:f>
        <x:v>2.3221871437159445</x:v>
      </x:c>
      <x:c r="P79" s="8" t="n">
        <x:v>0.4814374246584041</x:v>
      </x:c>
      <x:c r="Q79" s="8" t="n">
        <x:v>0.6619764589053057</x:v>
      </x:c>
      <x:c r="R79" s="9" t="str">
        <x:v>통계적 후보이며 임상적 검토 필요.</x:v>
      </x:c>
      <x:c r="S79" t="str">
        <x:v>탐색</x:v>
      </x:c>
    </x:row>
    <x:row r="80" ht="36" customHeight="1">
      <x:c r="A80" t="str">
        <x:v>Medial Meniscus</x:v>
      </x:c>
      <x:c r="B80" t="str">
        <x:v>ACL</x:v>
      </x:c>
      <x:c r="C80" t="n">
        <x:v>13</x:v>
      </x:c>
      <x:c r="D80" t="n">
        <x:v>13</x:v>
      </x:c>
      <x:c r="E80" t="n">
        <x:v>11</x:v>
      </x:c>
      <x:c r="F80" t="n">
        <x:v>21</x:v>
      </x:c>
      <x:c r="G80" t="n">
        <x:f>C80+D80</x:f>
        <x:v>26</x:v>
      </x:c>
      <x:c r="H80" s="5" t="n">
        <x:f>IFERROR(C80/G80,"")</x:f>
        <x:v>0.5</x:v>
      </x:c>
      <x:c r="I80" s="6" t="n">
        <x:f>E80+F80</x:f>
        <x:v>32</x:v>
      </x:c>
      <x:c r="J80" s="5" t="n">
        <x:f>IFERROR(E80/I80,"")</x:f>
        <x:v>0.34375</x:v>
      </x:c>
      <x:c r="K80" s="5" t="n">
        <x:f>H80-J80</x:f>
        <x:v>0.15625</x:v>
      </x:c>
      <x:c r="L80" s="7" t="n">
        <x:f>IFERROR(H80/J80,"")</x:f>
        <x:v>1.4545454545454546</x:v>
      </x:c>
      <x:c r="M80" s="7" t="n">
        <x:f>IFERROR((C80*F80)/(D80*E80),"")</x:f>
        <x:v>1.9090909090909092</x:v>
      </x:c>
      <x:c r="N80" s="7" t="n">
        <x:f>IFERROR(EXP(LN(M80)-1.96*SQRT(1/C80+1/D80+1/E80+1/F80)),"")</x:f>
        <x:v>0.6615451123039895</x:v>
      </x:c>
      <x:c r="O80" s="7" t="n">
        <x:f>IFERROR(EXP(LN(M80)+1.96*SQRT(1/C80+1/D80+1/E80+1/F80)),"")</x:f>
        <x:v>5.509266157949929</x:v>
      </x:c>
      <x:c r="P80" s="8" t="n">
        <x:v>0.28802003105180185</x:v>
      </x:c>
      <x:c r="Q80" s="8" t="n">
        <x:v>0.4874185140876647</x:v>
      </x:c>
      <x:c r="R80" s="9" t="str">
        <x:v>통계적 후보이며 임상적 검토 필요.</x:v>
      </x:c>
      <x:c r="S80" t="str">
        <x:v>탐색</x:v>
      </x:c>
    </x:row>
    <x:row r="81" ht="36" customHeight="1">
      <x:c r="A81" t="str">
        <x:v>Effusion</x:v>
      </x:c>
      <x:c r="B81" t="str">
        <x:v>Fracture</x:v>
      </x:c>
      <x:c r="C81" t="n">
        <x:v>13</x:v>
      </x:c>
      <x:c r="D81" t="n">
        <x:v>22</x:v>
      </x:c>
      <x:c r="E81" t="n">
        <x:v>5</x:v>
      </x:c>
      <x:c r="F81" t="n">
        <x:v>18</x:v>
      </x:c>
      <x:c r="G81" t="n">
        <x:f>C81+D81</x:f>
        <x:v>35</x:v>
      </x:c>
      <x:c r="H81" s="5" t="n">
        <x:f>IFERROR(C81/G81,"")</x:f>
        <x:v>0.37142857142857144</x:v>
      </x:c>
      <x:c r="I81" s="6" t="n">
        <x:f>E81+F81</x:f>
        <x:v>23</x:v>
      </x:c>
      <x:c r="J81" s="5" t="n">
        <x:f>IFERROR(E81/I81,"")</x:f>
        <x:v>0.21739130434782608</x:v>
      </x:c>
      <x:c r="K81" s="5" t="n">
        <x:f>H81-J81</x:f>
        <x:v>0.15403726708074536</x:v>
      </x:c>
      <x:c r="L81" s="7" t="n">
        <x:f>IFERROR(H81/J81,"")</x:f>
        <x:v>1.7085714285714286</x:v>
      </x:c>
      <x:c r="M81" s="7" t="n">
        <x:f>IFERROR((C81*F81)/(D81*E81),"")</x:f>
        <x:v>2.1272727272727274</x:v>
      </x:c>
      <x:c r="N81" s="7" t="n">
        <x:f>IFERROR(EXP(LN(M81)-1.96*SQRT(1/C81+1/D81+1/E81+1/F81)),"")</x:f>
        <x:v>0.6375681259485746</x:v>
      </x:c>
      <x:c r="O81" s="7" t="n">
        <x:f>IFERROR(EXP(LN(M81)+1.96*SQRT(1/C81+1/D81+1/E81+1/F81)),"")</x:f>
        <x:v>7.0977344569501755</x:v>
      </x:c>
      <x:c r="P81" s="8" t="n">
        <x:v>0.25721487721245084</x:v>
      </x:c>
      <x:c r="Q81" s="8" t="n">
        <x:v>0.4715606082228266</x:v>
      </x:c>
      <x:c r="R81" s="9" t="str">
        <x:v>통계적 후보이며 임상적 검토 필요.</x:v>
      </x:c>
      <x:c r="S81" t="str">
        <x:v>탐색</x:v>
      </x:c>
    </x:row>
    <x:row r="82" ht="36" customHeight="1">
      <x:c r="A82" t="str">
        <x:v>Lateral Meniscus</x:v>
      </x:c>
      <x:c r="B82" t="str">
        <x:v>Effusion</x:v>
      </x:c>
      <x:c r="C82" t="n">
        <x:v>16</x:v>
      </x:c>
      <x:c r="D82" t="n">
        <x:v>7</x:v>
      </x:c>
      <x:c r="E82" t="n">
        <x:v>19</x:v>
      </x:c>
      <x:c r="F82" t="n">
        <x:v>16</x:v>
      </x:c>
      <x:c r="G82" t="n">
        <x:f>C82+D82</x:f>
        <x:v>23</x:v>
      </x:c>
      <x:c r="H82" s="5" t="n">
        <x:f>IFERROR(C82/G82,"")</x:f>
        <x:v>0.6956521739130435</x:v>
      </x:c>
      <x:c r="I82" s="6" t="n">
        <x:f>E82+F82</x:f>
        <x:v>35</x:v>
      </x:c>
      <x:c r="J82" s="5" t="n">
        <x:f>IFERROR(E82/I82,"")</x:f>
        <x:v>0.5428571428571428</x:v>
      </x:c>
      <x:c r="K82" s="5" t="n">
        <x:f>H82-J82</x:f>
        <x:v>0.15279503105590064</x:v>
      </x:c>
      <x:c r="L82" s="7" t="n">
        <x:f>IFERROR(H82/J82,"")</x:f>
        <x:v>1.2814645308924486</x:v>
      </x:c>
      <x:c r="M82" s="7" t="n">
        <x:f>IFERROR((C82*F82)/(D82*E82),"")</x:f>
        <x:v>1.9248120300751879</x:v>
      </x:c>
      <x:c r="N82" s="7" t="n">
        <x:f>IFERROR(EXP(LN(M82)-1.96*SQRT(1/C82+1/D82+1/E82+1/F82)),"")</x:f>
        <x:v>0.6345993266154968</x:v>
      </x:c>
      <x:c r="O82" s="7" t="n">
        <x:f>IFERROR(EXP(LN(M82)+1.96*SQRT(1/C82+1/D82+1/E82+1/F82)),"")</x:f>
        <x:v>5.838174097790942</x:v>
      </x:c>
      <x:c r="P82" s="8" t="n">
        <x:v>0.28338800806149395</x:v>
      </x:c>
      <x:c r="Q82" s="8" t="n">
        <x:v>0.4874185140876647</x:v>
      </x:c>
      <x:c r="R82" s="9" t="str">
        <x:v>통계적 후보이며 임상적 검토 필요.</x:v>
      </x:c>
      <x:c r="S82" t="str">
        <x:v>탐색</x:v>
      </x:c>
    </x:row>
    <x:row r="83" ht="36" customHeight="1">
      <x:c r="A83" t="str">
        <x:v>Effusion</x:v>
      </x:c>
      <x:c r="B83" t="str">
        <x:v>Lateral Meniscus</x:v>
      </x:c>
      <x:c r="C83" t="n">
        <x:v>16</x:v>
      </x:c>
      <x:c r="D83" t="n">
        <x:v>19</x:v>
      </x:c>
      <x:c r="E83" t="n">
        <x:v>7</x:v>
      </x:c>
      <x:c r="F83" t="n">
        <x:v>16</x:v>
      </x:c>
      <x:c r="G83" t="n">
        <x:f>C83+D83</x:f>
        <x:v>35</x:v>
      </x:c>
      <x:c r="H83" s="5" t="n">
        <x:f>IFERROR(C83/G83,"")</x:f>
        <x:v>0.45714285714285713</x:v>
      </x:c>
      <x:c r="I83" s="6" t="n">
        <x:f>E83+F83</x:f>
        <x:v>23</x:v>
      </x:c>
      <x:c r="J83" s="5" t="n">
        <x:f>IFERROR(E83/I83,"")</x:f>
        <x:v>0.30434782608695654</x:v>
      </x:c>
      <x:c r="K83" s="5" t="n">
        <x:f>H83-J83</x:f>
        <x:v>0.1527950310559006</x:v>
      </x:c>
      <x:c r="L83" s="7" t="n">
        <x:f>IFERROR(H83/J83,"")</x:f>
        <x:v>1.5020408163265304</x:v>
      </x:c>
      <x:c r="M83" s="7" t="n">
        <x:f>IFERROR((C83*F83)/(D83*E83),"")</x:f>
        <x:v>1.9248120300751879</x:v>
      </x:c>
      <x:c r="N83" s="7" t="n">
        <x:f>IFERROR(EXP(LN(M83)-1.96*SQRT(1/C83+1/D83+1/E83+1/F83)),"")</x:f>
        <x:v>0.6345993266154968</x:v>
      </x:c>
      <x:c r="O83" s="7" t="n">
        <x:f>IFERROR(EXP(LN(M83)+1.96*SQRT(1/C83+1/D83+1/E83+1/F83)),"")</x:f>
        <x:v>5.838174097790942</x:v>
      </x:c>
      <x:c r="P83" s="8" t="n">
        <x:v>0.28338800806149395</x:v>
      </x:c>
      <x:c r="Q83" s="8" t="n">
        <x:v>0.4874185140876647</x:v>
      </x:c>
      <x:c r="R83" s="9" t="str">
        <x:v>통계적 후보이며 임상적 검토 필요.</x:v>
      </x:c>
      <x:c r="S83" t="str">
        <x:v>탐색</x:v>
      </x:c>
    </x:row>
    <x:row r="84" ht="36" customHeight="1">
      <x:c r="A84" t="str">
        <x:v>Medial Meniscus</x:v>
      </x:c>
      <x:c r="B84" t="str">
        <x:v>MCL</x:v>
      </x:c>
      <x:c r="C84" t="n">
        <x:v>2</x:v>
      </x:c>
      <x:c r="D84" t="n">
        <x:v>24</x:v>
      </x:c>
      <x:c r="E84" t="n">
        <x:v>7</x:v>
      </x:c>
      <x:c r="F84" t="n">
        <x:v>25</x:v>
      </x:c>
      <x:c r="G84" t="n">
        <x:f>C84+D84</x:f>
        <x:v>26</x:v>
      </x:c>
      <x:c r="H84" s="5" t="n">
        <x:f>IFERROR(C84/G84,"")</x:f>
        <x:v>0.07692307692307693</x:v>
      </x:c>
      <x:c r="I84" s="6" t="n">
        <x:f>E84+F84</x:f>
        <x:v>32</x:v>
      </x:c>
      <x:c r="J84" s="5" t="n">
        <x:f>IFERROR(E84/I84,"")</x:f>
        <x:v>0.21875</x:v>
      </x:c>
      <x:c r="K84" s="5" t="n">
        <x:f>H84-J84</x:f>
        <x:v>-0.14182692307692307</x:v>
      </x:c>
      <x:c r="L84" s="7" t="n">
        <x:f>IFERROR(H84/J84,"")</x:f>
        <x:v>0.3516483516483517</x:v>
      </x:c>
      <x:c r="M84" s="7" t="n">
        <x:f>IFERROR((C84*F84)/(D84*E84),"")</x:f>
        <x:v>0.2976190476190476</x:v>
      </x:c>
      <x:c r="N84" s="7" t="n">
        <x:f>IFERROR(EXP(LN(M84)-1.96*SQRT(1/C84+1/D84+1/E84+1/F84)),"")</x:f>
        <x:v>0.056119458340335236</x:v>
      </x:c>
      <x:c r="O84" s="7" t="n">
        <x:f>IFERROR(EXP(LN(M84)+1.96*SQRT(1/C84+1/D84+1/E84+1/F84)),"")</x:f>
        <x:v>1.5783669359118737</x:v>
      </x:c>
      <x:c r="P84" s="8" t="n">
        <x:v>0.16666681926495955</x:v>
      </x:c>
      <x:c r="Q84" s="8" t="n">
        <x:v>0.35396477570044904</x:v>
      </x:c>
      <x:c r="R84" s="9" t="str">
        <x:v>통계적 후보이며 임상적 검토 필요.</x:v>
      </x:c>
      <x:c r="S84" t="str">
        <x:v>탐색</x:v>
      </x:c>
    </x:row>
    <x:row r="85" ht="36" customHeight="1">
      <x:c r="A85" t="str">
        <x:v>Fracture</x:v>
      </x:c>
      <x:c r="B85" t="str">
        <x:v>Baker's</x:v>
      </x:c>
      <x:c r="C85" t="n">
        <x:v>2</x:v>
      </x:c>
      <x:c r="D85" t="n">
        <x:v>16</x:v>
      </x:c>
      <x:c r="E85" t="n">
        <x:v>10</x:v>
      </x:c>
      <x:c r="F85" t="n">
        <x:v>30</x:v>
      </x:c>
      <x:c r="G85" t="n">
        <x:f>C85+D85</x:f>
        <x:v>18</x:v>
      </x:c>
      <x:c r="H85" s="5" t="n">
        <x:f>IFERROR(C85/G85,"")</x:f>
        <x:v>0.1111111111111111</x:v>
      </x:c>
      <x:c r="I85" s="6" t="n">
        <x:f>E85+F85</x:f>
        <x:v>40</x:v>
      </x:c>
      <x:c r="J85" s="5" t="n">
        <x:f>IFERROR(E85/I85,"")</x:f>
        <x:v>0.25</x:v>
      </x:c>
      <x:c r="K85" s="5" t="n">
        <x:f>H85-J85</x:f>
        <x:v>-0.1388888888888889</x:v>
      </x:c>
      <x:c r="L85" s="7" t="n">
        <x:f>IFERROR(H85/J85,"")</x:f>
        <x:v>0.4444444444444444</x:v>
      </x:c>
      <x:c r="M85" s="7" t="n">
        <x:f>IFERROR((C85*F85)/(D85*E85),"")</x:f>
        <x:v>0.375</x:v>
      </x:c>
      <x:c r="N85" s="7" t="n">
        <x:f>IFERROR(EXP(LN(M85)-1.96*SQRT(1/C85+1/D85+1/E85+1/F85)),"")</x:f>
        <x:v>0.07310963582899678</x:v>
      </x:c>
      <x:c r="O85" s="7" t="n">
        <x:f>IFERROR(EXP(LN(M85)+1.96*SQRT(1/C85+1/D85+1/E85+1/F85)),"")</x:f>
        <x:v>1.923481062454222</x:v>
      </x:c>
      <x:c r="P85" s="8" t="n">
        <x:v>0.3067996229070676</x:v>
      </x:c>
      <x:c r="Q85" s="8" t="n">
        <x:v>0.5062193777966615</x:v>
      </x:c>
      <x:c r="R85" s="9" t="str">
        <x:v>통계적 후보이며 임상적 검토 필요.</x:v>
      </x:c>
      <x:c r="S85" t="str">
        <x:v>탐색</x:v>
      </x:c>
    </x:row>
    <x:row r="86" ht="36" customHeight="1">
      <x:c r="A86" t="str">
        <x:v>MCL</x:v>
      </x:c>
      <x:c r="B86" t="str">
        <x:v>Contusion</x:v>
      </x:c>
      <x:c r="C86" t="n">
        <x:v>4</x:v>
      </x:c>
      <x:c r="D86" t="n">
        <x:v>5</x:v>
      </x:c>
      <x:c r="E86" t="n">
        <x:v>15</x:v>
      </x:c>
      <x:c r="F86" t="n">
        <x:v>34</x:v>
      </x:c>
      <x:c r="G86" t="n">
        <x:f>C86+D86</x:f>
        <x:v>9</x:v>
      </x:c>
      <x:c r="H86" s="5" t="n">
        <x:f>IFERROR(C86/G86,"")</x:f>
        <x:v>0.4444444444444444</x:v>
      </x:c>
      <x:c r="I86" s="6" t="n">
        <x:f>E86+F86</x:f>
        <x:v>49</x:v>
      </x:c>
      <x:c r="J86" s="5" t="n">
        <x:f>IFERROR(E86/I86,"")</x:f>
        <x:v>0.30612244897959184</x:v>
      </x:c>
      <x:c r="K86" s="5" t="n">
        <x:f>H86-J86</x:f>
        <x:v>0.13832199546485258</x:v>
      </x:c>
      <x:c r="L86" s="7" t="n">
        <x:f>IFERROR(H86/J86,"")</x:f>
        <x:v>1.4518518518518517</x:v>
      </x:c>
      <x:c r="M86" s="7" t="n">
        <x:f>IFERROR((C86*F86)/(D86*E86),"")</x:f>
        <x:v>1.8133333333333332</x:v>
      </x:c>
      <x:c r="N86" s="7" t="n">
        <x:f>IFERROR(EXP(LN(M86)-1.96*SQRT(1/C86+1/D86+1/E86+1/F86)),"")</x:f>
        <x:v>0.4260422429620191</x:v>
      </x:c>
      <x:c r="O86" s="7" t="n">
        <x:f>IFERROR(EXP(LN(M86)+1.96*SQRT(1/C86+1/D86+1/E86+1/F86)),"")</x:f>
        <x:v>7.717961850254632</x:v>
      </x:c>
      <x:c r="P86" s="8" t="n">
        <x:v>0.4561282309102705</x:v>
      </x:c>
      <x:c r="Q86" s="8" t="n">
        <x:v>0.6619764589053057</x:v>
      </x:c>
      <x:c r="R86" s="9" t="str">
        <x:v>통계적 후보이며 임상적 검토 필요.</x:v>
      </x:c>
      <x:c r="S86" t="str">
        <x:v>탐색</x:v>
      </x:c>
    </x:row>
    <x:row r="87" ht="36" customHeight="1">
      <x:c r="A87" t="str">
        <x:v>PF OA</x:v>
      </x:c>
      <x:c r="B87" t="str">
        <x:v>Lateral Meniscus</x:v>
      </x:c>
      <x:c r="C87" t="n">
        <x:v>10</x:v>
      </x:c>
      <x:c r="D87" t="n">
        <x:v>11</x:v>
      </x:c>
      <x:c r="E87" t="n">
        <x:v>13</x:v>
      </x:c>
      <x:c r="F87" t="n">
        <x:v>24</x:v>
      </x:c>
      <x:c r="G87" t="n">
        <x:f>C87+D87</x:f>
        <x:v>21</x:v>
      </x:c>
      <x:c r="H87" s="5" t="n">
        <x:f>IFERROR(C87/G87,"")</x:f>
        <x:v>0.47619047619047616</x:v>
      </x:c>
      <x:c r="I87" s="6" t="n">
        <x:f>E87+F87</x:f>
        <x:v>37</x:v>
      </x:c>
      <x:c r="J87" s="5" t="n">
        <x:f>IFERROR(E87/I87,"")</x:f>
        <x:v>0.35135135135135137</x:v>
      </x:c>
      <x:c r="K87" s="5" t="n">
        <x:f>H87-J87</x:f>
        <x:v>0.1248391248391248</x:v>
      </x:c>
      <x:c r="L87" s="7" t="n">
        <x:f>IFERROR(H87/J87,"")</x:f>
        <x:v>1.3553113553113552</x:v>
      </x:c>
      <x:c r="M87" s="7" t="n">
        <x:f>IFERROR((C87*F87)/(D87*E87),"")</x:f>
        <x:v>1.6783216783216783</x:v>
      </x:c>
      <x:c r="N87" s="7" t="n">
        <x:f>IFERROR(EXP(LN(M87)-1.96*SQRT(1/C87+1/D87+1/E87+1/F87)),"")</x:f>
        <x:v>0.564054135135929</x:v>
      </x:c>
      <x:c r="O87" s="7" t="n">
        <x:f>IFERROR(EXP(LN(M87)+1.96*SQRT(1/C87+1/D87+1/E87+1/F87)),"")</x:f>
        <x:v>4.993782476651281</x:v>
      </x:c>
      <x:c r="P87" s="8" t="n">
        <x:v>0.4092921749103372</x:v>
      </x:c>
      <x:c r="Q87" s="8" t="n">
        <x:v>0.643870930127768</x:v>
      </x:c>
      <x:c r="R87" s="9" t="str">
        <x:v>통계적 후보이며 임상적 검토 필요.</x:v>
      </x:c>
      <x:c r="S87" t="str">
        <x:v>탐색</x:v>
      </x:c>
    </x:row>
    <x:row r="88" ht="36" customHeight="1">
      <x:c r="A88" t="str">
        <x:v>Lateral Meniscus</x:v>
      </x:c>
      <x:c r="B88" t="str">
        <x:v>Medial Meniscus</x:v>
      </x:c>
      <x:c r="C88" t="n">
        <x:v>12</x:v>
      </x:c>
      <x:c r="D88" t="n">
        <x:v>11</x:v>
      </x:c>
      <x:c r="E88" t="n">
        <x:v>14</x:v>
      </x:c>
      <x:c r="F88" t="n">
        <x:v>21</x:v>
      </x:c>
      <x:c r="G88" t="n">
        <x:f>C88+D88</x:f>
        <x:v>23</x:v>
      </x:c>
      <x:c r="H88" s="5" t="n">
        <x:f>IFERROR(C88/G88,"")</x:f>
        <x:v>0.5217391304347826</x:v>
      </x:c>
      <x:c r="I88" s="6" t="n">
        <x:f>E88+F88</x:f>
        <x:v>35</x:v>
      </x:c>
      <x:c r="J88" s="5" t="n">
        <x:f>IFERROR(E88/I88,"")</x:f>
        <x:v>0.4</x:v>
      </x:c>
      <x:c r="K88" s="5" t="n">
        <x:f>H88-J88</x:f>
        <x:v>0.12173913043478257</x:v>
      </x:c>
      <x:c r="L88" s="7" t="n">
        <x:f>IFERROR(H88/J88,"")</x:f>
        <x:v>1.3043478260869563</x:v>
      </x:c>
      <x:c r="M88" s="7" t="n">
        <x:f>IFERROR((C88*F88)/(D88*E88),"")</x:f>
        <x:v>1.6363636363636365</x:v>
      </x:c>
      <x:c r="N88" s="7" t="n">
        <x:f>IFERROR(EXP(LN(M88)-1.96*SQRT(1/C88+1/D88+1/E88+1/F88)),"")</x:f>
        <x:v>0.566099059522199</x:v>
      </x:c>
      <x:c r="O88" s="7" t="n">
        <x:f>IFERROR(EXP(LN(M88)+1.96*SQRT(1/C88+1/D88+1/E88+1/F88)),"")</x:f>
        <x:v>4.730066064185399</x:v>
      </x:c>
      <x:c r="P88" s="8" t="n">
        <x:v>0.42464351116895344</x:v>
      </x:c>
      <x:c r="Q88" s="8" t="n">
        <x:v>0.6517784124918821</x:v>
      </x:c>
      <x:c r="R88" s="9" t="str">
        <x:v>통계적 후보이며 임상적 검토 필요.</x:v>
      </x:c>
      <x:c r="S88" t="str">
        <x:v>탐색</x:v>
      </x:c>
    </x:row>
    <x:row r="89" ht="36" customHeight="1">
      <x:c r="A89" t="str">
        <x:v>Lateral Meniscus</x:v>
      </x:c>
      <x:c r="B89" t="str">
        <x:v>PF OA</x:v>
      </x:c>
      <x:c r="C89" t="n">
        <x:v>10</x:v>
      </x:c>
      <x:c r="D89" t="n">
        <x:v>13</x:v>
      </x:c>
      <x:c r="E89" t="n">
        <x:v>11</x:v>
      </x:c>
      <x:c r="F89" t="n">
        <x:v>24</x:v>
      </x:c>
      <x:c r="G89" t="n">
        <x:f>C89+D89</x:f>
        <x:v>23</x:v>
      </x:c>
      <x:c r="H89" s="5" t="n">
        <x:f>IFERROR(C89/G89,"")</x:f>
        <x:v>0.43478260869565216</x:v>
      </x:c>
      <x:c r="I89" s="6" t="n">
        <x:f>E89+F89</x:f>
        <x:v>35</x:v>
      </x:c>
      <x:c r="J89" s="5" t="n">
        <x:f>IFERROR(E89/I89,"")</x:f>
        <x:v>0.3142857142857143</x:v>
      </x:c>
      <x:c r="K89" s="5" t="n">
        <x:f>H89-J89</x:f>
        <x:v>0.12049689440993788</x:v>
      </x:c>
      <x:c r="L89" s="7" t="n">
        <x:f>IFERROR(H89/J89,"")</x:f>
        <x:v>1.383399209486166</x:v>
      </x:c>
      <x:c r="M89" s="7" t="n">
        <x:f>IFERROR((C89*F89)/(D89*E89),"")</x:f>
        <x:v>1.6783216783216783</x:v>
      </x:c>
      <x:c r="N89" s="7" t="n">
        <x:f>IFERROR(EXP(LN(M89)-1.96*SQRT(1/C89+1/D89+1/E89+1/F89)),"")</x:f>
        <x:v>0.564054135135929</x:v>
      </x:c>
      <x:c r="O89" s="7" t="n">
        <x:f>IFERROR(EXP(LN(M89)+1.96*SQRT(1/C89+1/D89+1/E89+1/F89)),"")</x:f>
        <x:v>4.993782476651281</x:v>
      </x:c>
      <x:c r="P89" s="8" t="n">
        <x:v>0.4092921749103372</x:v>
      </x:c>
      <x:c r="Q89" s="8" t="n">
        <x:v>0.643870930127768</x:v>
      </x:c>
      <x:c r="R89" s="9" t="str">
        <x:v>통계적 후보이며 임상적 검토 필요.</x:v>
      </x:c>
      <x:c r="S89" t="str">
        <x:v>탐색</x:v>
      </x:c>
    </x:row>
    <x:row r="90" ht="36" customHeight="1">
      <x:c r="A90" t="str">
        <x:v>Contusion</x:v>
      </x:c>
      <x:c r="B90" t="str">
        <x:v>Effusion</x:v>
      </x:c>
      <x:c r="C90" t="n">
        <x:v>13</x:v>
      </x:c>
      <x:c r="D90" t="n">
        <x:v>6</x:v>
      </x:c>
      <x:c r="E90" t="n">
        <x:v>22</x:v>
      </x:c>
      <x:c r="F90" t="n">
        <x:v>17</x:v>
      </x:c>
      <x:c r="G90" t="n">
        <x:f>C90+D90</x:f>
        <x:v>19</x:v>
      </x:c>
      <x:c r="H90" s="5" t="n">
        <x:f>IFERROR(C90/G90,"")</x:f>
        <x:v>0.6842105263157895</x:v>
      </x:c>
      <x:c r="I90" s="6" t="n">
        <x:f>E90+F90</x:f>
        <x:v>39</x:v>
      </x:c>
      <x:c r="J90" s="5" t="n">
        <x:f>IFERROR(E90/I90,"")</x:f>
        <x:v>0.5641025641025641</x:v>
      </x:c>
      <x:c r="K90" s="5" t="n">
        <x:f>H90-J90</x:f>
        <x:v>0.1201079622132254</x:v>
      </x:c>
      <x:c r="L90" s="7" t="n">
        <x:f>IFERROR(H90/J90,"")</x:f>
        <x:v>1.2129186602870814</x:v>
      </x:c>
      <x:c r="M90" s="7" t="n">
        <x:f>IFERROR((C90*F90)/(D90*E90),"")</x:f>
        <x:v>1.6742424242424243</x:v>
      </x:c>
      <x:c r="N90" s="7" t="n">
        <x:f>IFERROR(EXP(LN(M90)-1.96*SQRT(1/C90+1/D90+1/E90+1/F90)),"")</x:f>
        <x:v>0.5269479514030567</x:v>
      </x:c>
      <x:c r="O90" s="7" t="n">
        <x:f>IFERROR(EXP(LN(M90)+1.96*SQRT(1/C90+1/D90+1/E90+1/F90)),"")</x:f>
        <x:v>5.3194773557229365</x:v>
      </x:c>
      <x:c r="P90" s="8" t="n">
        <x:v>0.40973604644494327</x:v>
      </x:c>
      <x:c r="Q90" s="8" t="n">
        <x:v>0.643870930127768</x:v>
      </x:c>
      <x:c r="R90" s="9" t="str">
        <x:v>통계적 후보이며 임상적 검토 필요.</x:v>
      </x:c>
      <x:c r="S90" t="str">
        <x:v>탐색</x:v>
      </x:c>
    </x:row>
    <x:row r="91" ht="36" customHeight="1">
      <x:c r="A91" t="str">
        <x:v>Medial Meniscus</x:v>
      </x:c>
      <x:c r="B91" t="str">
        <x:v>Lateral Meniscus</x:v>
      </x:c>
      <x:c r="C91" t="n">
        <x:v>12</x:v>
      </x:c>
      <x:c r="D91" t="n">
        <x:v>14</x:v>
      </x:c>
      <x:c r="E91" t="n">
        <x:v>11</x:v>
      </x:c>
      <x:c r="F91" t="n">
        <x:v>21</x:v>
      </x:c>
      <x:c r="G91" t="n">
        <x:f>C91+D91</x:f>
        <x:v>26</x:v>
      </x:c>
      <x:c r="H91" s="5" t="n">
        <x:f>IFERROR(C91/G91,"")</x:f>
        <x:v>0.46153846153846156</x:v>
      </x:c>
      <x:c r="I91" s="6" t="n">
        <x:f>E91+F91</x:f>
        <x:v>32</x:v>
      </x:c>
      <x:c r="J91" s="5" t="n">
        <x:f>IFERROR(E91/I91,"")</x:f>
        <x:v>0.34375</x:v>
      </x:c>
      <x:c r="K91" s="5" t="n">
        <x:f>H91-J91</x:f>
        <x:v>0.11778846153846156</x:v>
      </x:c>
      <x:c r="L91" s="7" t="n">
        <x:f>IFERROR(H91/J91,"")</x:f>
        <x:v>1.3426573426573427</x:v>
      </x:c>
      <x:c r="M91" s="7" t="n">
        <x:f>IFERROR((C91*F91)/(D91*E91),"")</x:f>
        <x:v>1.6363636363636365</x:v>
      </x:c>
      <x:c r="N91" s="7" t="n">
        <x:f>IFERROR(EXP(LN(M91)-1.96*SQRT(1/C91+1/D91+1/E91+1/F91)),"")</x:f>
        <x:v>0.566099059522199</x:v>
      </x:c>
      <x:c r="O91" s="7" t="n">
        <x:f>IFERROR(EXP(LN(M91)+1.96*SQRT(1/C91+1/D91+1/E91+1/F91)),"")</x:f>
        <x:v>4.730066064185399</x:v>
      </x:c>
      <x:c r="P91" s="8" t="n">
        <x:v>0.42464351116895344</x:v>
      </x:c>
      <x:c r="Q91" s="8" t="n">
        <x:v>0.6517784124918821</x:v>
      </x:c>
      <x:c r="R91" s="9" t="str">
        <x:v>통계적 후보이며 임상적 검토 필요.</x:v>
      </x:c>
      <x:c r="S91" t="str">
        <x:v>탐색</x:v>
      </x:c>
    </x:row>
    <x:row r="92" ht="36" customHeight="1">
      <x:c r="A92" t="str">
        <x:v>Fracture</x:v>
      </x:c>
      <x:c r="B92" t="str">
        <x:v>Lateral OA</x:v>
      </x:c>
      <x:c r="C92" t="n">
        <x:v>2</x:v>
      </x:c>
      <x:c r="D92" t="n">
        <x:v>16</x:v>
      </x:c>
      <x:c r="E92" t="n">
        <x:v>9</x:v>
      </x:c>
      <x:c r="F92" t="n">
        <x:v>31</x:v>
      </x:c>
      <x:c r="G92" t="n">
        <x:f>C92+D92</x:f>
        <x:v>18</x:v>
      </x:c>
      <x:c r="H92" s="5" t="n">
        <x:f>IFERROR(C92/G92,"")</x:f>
        <x:v>0.1111111111111111</x:v>
      </x:c>
      <x:c r="I92" s="6" t="n">
        <x:f>E92+F92</x:f>
        <x:v>40</x:v>
      </x:c>
      <x:c r="J92" s="5" t="n">
        <x:f>IFERROR(E92/I92,"")</x:f>
        <x:v>0.225</x:v>
      </x:c>
      <x:c r="K92" s="5" t="n">
        <x:f>H92-J92</x:f>
        <x:v>-0.1138888888888889</x:v>
      </x:c>
      <x:c r="L92" s="7" t="n">
        <x:f>IFERROR(H92/J92,"")</x:f>
        <x:v>0.49382716049382713</x:v>
      </x:c>
      <x:c r="M92" s="7" t="n">
        <x:f>IFERROR((C92*F92)/(D92*E92),"")</x:f>
        <x:v>0.4305555555555556</x:v>
      </x:c>
      <x:c r="N92" s="7" t="n">
        <x:f>IFERROR(EXP(LN(M92)-1.96*SQRT(1/C92+1/D92+1/E92+1/F92)),"")</x:f>
        <x:v>0.0829603146050478</x:v>
      </x:c>
      <x:c r="O92" s="7" t="n">
        <x:f>IFERROR(EXP(LN(M92)+1.96*SQRT(1/C92+1/D92+1/E92+1/F92)),"")</x:f>
        <x:v>2.2345393372998807</x:v>
      </x:c>
      <x:c r="P92" s="8" t="n">
        <x:v>0.4738358583511463</x:v>
      </x:c>
      <x:c r="Q92" s="8" t="n">
        <x:v>0.6619764589053057</x:v>
      </x:c>
      <x:c r="R92" s="9" t="str">
        <x:v>통계적 후보이며 임상적 검토 필요.</x:v>
      </x:c>
      <x:c r="S92" t="str">
        <x:v>탐색</x:v>
      </x:c>
    </x:row>
    <x:row r="93" ht="36" customHeight="1">
      <x:c r="A93" t="str">
        <x:v>Effusion</x:v>
      </x:c>
      <x:c r="B93" t="str">
        <x:v>Contusion</x:v>
      </x:c>
      <x:c r="C93" t="n">
        <x:v>13</x:v>
      </x:c>
      <x:c r="D93" t="n">
        <x:v>22</x:v>
      </x:c>
      <x:c r="E93" t="n">
        <x:v>6</x:v>
      </x:c>
      <x:c r="F93" t="n">
        <x:v>17</x:v>
      </x:c>
      <x:c r="G93" t="n">
        <x:f>C93+D93</x:f>
        <x:v>35</x:v>
      </x:c>
      <x:c r="H93" s="5" t="n">
        <x:f>IFERROR(C93/G93,"")</x:f>
        <x:v>0.37142857142857144</x:v>
      </x:c>
      <x:c r="I93" s="6" t="n">
        <x:f>E93+F93</x:f>
        <x:v>23</x:v>
      </x:c>
      <x:c r="J93" s="5" t="n">
        <x:f>IFERROR(E93/I93,"")</x:f>
        <x:v>0.2608695652173913</x:v>
      </x:c>
      <x:c r="K93" s="5" t="n">
        <x:f>H93-J93</x:f>
        <x:v>0.11055900621118014</x:v>
      </x:c>
      <x:c r="L93" s="7" t="n">
        <x:f>IFERROR(H93/J93,"")</x:f>
        <x:v>1.4238095238095239</x:v>
      </x:c>
      <x:c r="M93" s="7" t="n">
        <x:f>IFERROR((C93*F93)/(D93*E93),"")</x:f>
        <x:v>1.6742424242424243</x:v>
      </x:c>
      <x:c r="N93" s="7" t="n">
        <x:f>IFERROR(EXP(LN(M93)-1.96*SQRT(1/C93+1/D93+1/E93+1/F93)),"")</x:f>
        <x:v>0.5269479514030567</x:v>
      </x:c>
      <x:c r="O93" s="7" t="n">
        <x:f>IFERROR(EXP(LN(M93)+1.96*SQRT(1/C93+1/D93+1/E93+1/F93)),"")</x:f>
        <x:v>5.3194773557229365</x:v>
      </x:c>
      <x:c r="P93" s="8" t="n">
        <x:v>0.40973604644494327</x:v>
      </x:c>
      <x:c r="Q93" s="8" t="n">
        <x:v>0.643870930127768</x:v>
      </x:c>
      <x:c r="R93" s="9" t="str">
        <x:v>통계적 후보이며 임상적 검토 필요.</x:v>
      </x:c>
      <x:c r="S93" t="str">
        <x:v>탐색</x:v>
      </x:c>
    </x:row>
    <x:row r="94" ht="36" customHeight="1">
      <x:c r="A94" t="str">
        <x:v>Baker's</x:v>
      </x:c>
      <x:c r="B94" t="str">
        <x:v>ACL</x:v>
      </x:c>
      <x:c r="C94" t="n">
        <x:v>4</x:v>
      </x:c>
      <x:c r="D94" t="n">
        <x:v>8</x:v>
      </x:c>
      <x:c r="E94" t="n">
        <x:v>20</x:v>
      </x:c>
      <x:c r="F94" t="n">
        <x:v>26</x:v>
      </x:c>
      <x:c r="G94" t="n">
        <x:f>C94+D94</x:f>
        <x:v>12</x:v>
      </x:c>
      <x:c r="H94" s="5" t="n">
        <x:f>IFERROR(C94/G94,"")</x:f>
        <x:v>0.3333333333333333</x:v>
      </x:c>
      <x:c r="I94" s="6" t="n">
        <x:f>E94+F94</x:f>
        <x:v>46</x:v>
      </x:c>
      <x:c r="J94" s="5" t="n">
        <x:f>IFERROR(E94/I94,"")</x:f>
        <x:v>0.43478260869565216</x:v>
      </x:c>
      <x:c r="K94" s="5" t="n">
        <x:f>H94-J94</x:f>
        <x:v>-0.10144927536231885</x:v>
      </x:c>
      <x:c r="L94" s="7" t="n">
        <x:f>IFERROR(H94/J94,"")</x:f>
        <x:v>0.7666666666666666</x:v>
      </x:c>
      <x:c r="M94" s="7" t="n">
        <x:f>IFERROR((C94*F94)/(D94*E94),"")</x:f>
        <x:v>0.65</x:v>
      </x:c>
      <x:c r="N94" s="7" t="n">
        <x:f>IFERROR(EXP(LN(M94)-1.96*SQRT(1/C94+1/D94+1/E94+1/F94)),"")</x:f>
        <x:v>0.171167631187102</x:v>
      </x:c>
      <x:c r="O94" s="7" t="n">
        <x:f>IFERROR(EXP(LN(M94)+1.96*SQRT(1/C94+1/D94+1/E94+1/F94)),"")</x:f>
        <x:v>2.468340521334718</x:v>
      </x:c>
      <x:c r="P94" s="8" t="n">
        <x:v>0.7436011051003918</x:v>
      </x:c>
      <x:c r="Q94" s="8" t="n">
        <x:v>0.8977588079187233</x:v>
      </x:c>
      <x:c r="R94" s="9" t="str">
        <x:v>통계적 후보이며 임상적 검토 필요.</x:v>
      </x:c>
      <x:c r="S94" t="str">
        <x:v>탐색</x:v>
      </x:c>
    </x:row>
    <x:row r="95" ht="36" customHeight="1">
      <x:c r="A95" t="str">
        <x:v>PF OA</x:v>
      </x:c>
      <x:c r="B95" t="str">
        <x:v>Effusion</x:v>
      </x:c>
      <x:c r="C95" t="n">
        <x:v>14</x:v>
      </x:c>
      <x:c r="D95" t="n">
        <x:v>7</x:v>
      </x:c>
      <x:c r="E95" t="n">
        <x:v>21</x:v>
      </x:c>
      <x:c r="F95" t="n">
        <x:v>16</x:v>
      </x:c>
      <x:c r="G95" t="n">
        <x:f>C95+D95</x:f>
        <x:v>21</x:v>
      </x:c>
      <x:c r="H95" s="5" t="n">
        <x:f>IFERROR(C95/G95,"")</x:f>
        <x:v>0.6666666666666666</x:v>
      </x:c>
      <x:c r="I95" s="6" t="n">
        <x:f>E95+F95</x:f>
        <x:v>37</x:v>
      </x:c>
      <x:c r="J95" s="5" t="n">
        <x:f>IFERROR(E95/I95,"")</x:f>
        <x:v>0.5675675675675675</x:v>
      </x:c>
      <x:c r="K95" s="5" t="n">
        <x:f>H95-J95</x:f>
        <x:v>0.09909909909909909</x:v>
      </x:c>
      <x:c r="L95" s="7" t="n">
        <x:f>IFERROR(H95/J95,"")</x:f>
        <x:v>1.1746031746031746</x:v>
      </x:c>
      <x:c r="M95" s="7" t="n">
        <x:f>IFERROR((C95*F95)/(D95*E95),"")</x:f>
        <x:v>1.5238095238095237</x:v>
      </x:c>
      <x:c r="N95" s="7" t="n">
        <x:f>IFERROR(EXP(LN(M95)-1.96*SQRT(1/C95+1/D95+1/E95+1/F95)),"")</x:f>
        <x:v>0.49900720312150837</x:v>
      </x:c>
      <x:c r="O95" s="7" t="n">
        <x:f>IFERROR(EXP(LN(M95)+1.96*SQRT(1/C95+1/D95+1/E95+1/F95)),"")</x:f>
        <x:v>4.653230354847605</x:v>
      </x:c>
      <x:c r="P95" s="8" t="n">
        <x:v>0.5794429298412919</x:v>
      </x:c>
      <x:c r="Q95" s="8" t="n">
        <x:v>0.7684150728516392</x:v>
      </x:c>
      <x:c r="R95" s="9" t="str">
        <x:v>통계적 후보이며 임상적 검토 필요.</x:v>
      </x:c>
      <x:c r="S95" t="str">
        <x:v>탐색</x:v>
      </x:c>
    </x:row>
    <x:row r="96" ht="36" customHeight="1">
      <x:c r="A96" t="str">
        <x:v>Baker's</x:v>
      </x:c>
      <x:c r="B96" t="str">
        <x:v>Contusion</x:v>
      </x:c>
      <x:c r="C96" t="n">
        <x:v>3</x:v>
      </x:c>
      <x:c r="D96" t="n">
        <x:v>9</x:v>
      </x:c>
      <x:c r="E96" t="n">
        <x:v>16</x:v>
      </x:c>
      <x:c r="F96" t="n">
        <x:v>30</x:v>
      </x:c>
      <x:c r="G96" t="n">
        <x:f>C96+D96</x:f>
        <x:v>12</x:v>
      </x:c>
      <x:c r="H96" s="5" t="n">
        <x:f>IFERROR(C96/G96,"")</x:f>
        <x:v>0.25</x:v>
      </x:c>
      <x:c r="I96" s="6" t="n">
        <x:f>E96+F96</x:f>
        <x:v>46</x:v>
      </x:c>
      <x:c r="J96" s="5" t="n">
        <x:f>IFERROR(E96/I96,"")</x:f>
        <x:v>0.34782608695652173</x:v>
      </x:c>
      <x:c r="K96" s="5" t="n">
        <x:f>H96-J96</x:f>
        <x:v>-0.09782608695652173</x:v>
      </x:c>
      <x:c r="L96" s="7" t="n">
        <x:f>IFERROR(H96/J96,"")</x:f>
        <x:v>0.71875</x:v>
      </x:c>
      <x:c r="M96" s="7" t="n">
        <x:f>IFERROR((C96*F96)/(D96*E96),"")</x:f>
        <x:v>0.625</x:v>
      </x:c>
      <x:c r="N96" s="7" t="n">
        <x:f>IFERROR(EXP(LN(M96)-1.96*SQRT(1/C96+1/D96+1/E96+1/F96)),"")</x:f>
        <x:v>0.14798061435315904</x:v>
      </x:c>
      <x:c r="O96" s="7" t="n">
        <x:f>IFERROR(EXP(LN(M96)+1.96*SQRT(1/C96+1/D96+1/E96+1/F96)),"")</x:f>
        <x:v>2.6397038673441693</x:v>
      </x:c>
      <x:c r="P96" s="8" t="n">
        <x:v>0.7325998647912219</x:v>
      </x:c>
      <x:c r="Q96" s="8" t="n">
        <x:v>0.8977588079187233</x:v>
      </x:c>
      <x:c r="R96" s="9" t="str">
        <x:v>통계적 후보이며 임상적 검토 필요.</x:v>
      </x:c>
      <x:c r="S96" t="str">
        <x:v>탐색</x:v>
      </x:c>
    </x:row>
    <x:row r="97" ht="36" customHeight="1">
      <x:c r="A97" t="str">
        <x:v>Fracture</x:v>
      </x:c>
      <x:c r="B97" t="str">
        <x:v>MCL</x:v>
      </x:c>
      <x:c r="C97" t="n">
        <x:v>4</x:v>
      </x:c>
      <x:c r="D97" t="n">
        <x:v>14</x:v>
      </x:c>
      <x:c r="E97" t="n">
        <x:v>5</x:v>
      </x:c>
      <x:c r="F97" t="n">
        <x:v>35</x:v>
      </x:c>
      <x:c r="G97" t="n">
        <x:f>C97+D97</x:f>
        <x:v>18</x:v>
      </x:c>
      <x:c r="H97" s="5" t="n">
        <x:f>IFERROR(C97/G97,"")</x:f>
        <x:v>0.2222222222222222</x:v>
      </x:c>
      <x:c r="I97" s="6" t="n">
        <x:f>E97+F97</x:f>
        <x:v>40</x:v>
      </x:c>
      <x:c r="J97" s="5" t="n">
        <x:f>IFERROR(E97/I97,"")</x:f>
        <x:v>0.125</x:v>
      </x:c>
      <x:c r="K97" s="5" t="n">
        <x:f>H97-J97</x:f>
        <x:v>0.09722222222222221</x:v>
      </x:c>
      <x:c r="L97" s="7" t="n">
        <x:f>IFERROR(H97/J97,"")</x:f>
        <x:v>1.7777777777777777</x:v>
      </x:c>
      <x:c r="M97" s="7" t="n">
        <x:f>IFERROR((C97*F97)/(D97*E97),"")</x:f>
        <x:v>2</x:v>
      </x:c>
      <x:c r="N97" s="7" t="n">
        <x:f>IFERROR(EXP(LN(M97)-1.96*SQRT(1/C97+1/D97+1/E97+1/F97)),"")</x:f>
        <x:v>0.46746643813742333</x:v>
      </x:c>
      <x:c r="O97" s="7" t="n">
        <x:f>IFERROR(EXP(LN(M97)+1.96*SQRT(1/C97+1/D97+1/E97+1/F97)),"")</x:f>
        <x:v>8.556764023397333</x:v>
      </x:c>
      <x:c r="P97" s="8" t="n">
        <x:v>0.4380079257112412</x:v>
      </x:c>
      <x:c r="Q97" s="8" t="n">
        <x:v>0.6570118885668618</x:v>
      </x:c>
      <x:c r="R97" s="9" t="str">
        <x:v>통계적 후보이며 임상적 검토 필요.</x:v>
      </x:c>
      <x:c r="S97" t="str">
        <x:v>탐색</x:v>
      </x:c>
    </x:row>
    <x:row r="98" ht="36" customHeight="1">
      <x:c r="A98" t="str">
        <x:v>Effusion</x:v>
      </x:c>
      <x:c r="B98" t="str">
        <x:v>PF OA</x:v>
      </x:c>
      <x:c r="C98" t="n">
        <x:v>14</x:v>
      </x:c>
      <x:c r="D98" t="n">
        <x:v>21</x:v>
      </x:c>
      <x:c r="E98" t="n">
        <x:v>7</x:v>
      </x:c>
      <x:c r="F98" t="n">
        <x:v>16</x:v>
      </x:c>
      <x:c r="G98" t="n">
        <x:f>C98+D98</x:f>
        <x:v>35</x:v>
      </x:c>
      <x:c r="H98" s="5" t="n">
        <x:f>IFERROR(C98/G98,"")</x:f>
        <x:v>0.4</x:v>
      </x:c>
      <x:c r="I98" s="6" t="n">
        <x:f>E98+F98</x:f>
        <x:v>23</x:v>
      </x:c>
      <x:c r="J98" s="5" t="n">
        <x:f>IFERROR(E98/I98,"")</x:f>
        <x:v>0.30434782608695654</x:v>
      </x:c>
      <x:c r="K98" s="5" t="n">
        <x:f>H98-J98</x:f>
        <x:v>0.09565217391304348</x:v>
      </x:c>
      <x:c r="L98" s="7" t="n">
        <x:f>IFERROR(H98/J98,"")</x:f>
        <x:v>1.3142857142857143</x:v>
      </x:c>
      <x:c r="M98" s="7" t="n">
        <x:f>IFERROR((C98*F98)/(D98*E98),"")</x:f>
        <x:v>1.5238095238095237</x:v>
      </x:c>
      <x:c r="N98" s="7" t="n">
        <x:f>IFERROR(EXP(LN(M98)-1.96*SQRT(1/C98+1/D98+1/E98+1/F98)),"")</x:f>
        <x:v>0.49900720312150837</x:v>
      </x:c>
      <x:c r="O98" s="7" t="n">
        <x:f>IFERROR(EXP(LN(M98)+1.96*SQRT(1/C98+1/D98+1/E98+1/F98)),"")</x:f>
        <x:v>4.653230354847605</x:v>
      </x:c>
      <x:c r="P98" s="8" t="n">
        <x:v>0.5794429298412919</x:v>
      </x:c>
      <x:c r="Q98" s="8" t="n">
        <x:v>0.7684150728516392</x:v>
      </x:c>
      <x:c r="R98" s="9" t="str">
        <x:v>통계적 후보이며 임상적 검토 필요.</x:v>
      </x:c>
      <x:c r="S98" t="str">
        <x:v>탐색</x:v>
      </x:c>
    </x:row>
    <x:row r="99" ht="36" customHeight="1">
      <x:c r="A99" t="str">
        <x:v>MCL</x:v>
      </x:c>
      <x:c r="B99" t="str">
        <x:v>Lateral OA</x:v>
      </x:c>
      <x:c r="C99" t="n">
        <x:v>1</x:v>
      </x:c>
      <x:c r="D99" t="n">
        <x:v>8</x:v>
      </x:c>
      <x:c r="E99" t="n">
        <x:v>10</x:v>
      </x:c>
      <x:c r="F99" t="n">
        <x:v>39</x:v>
      </x:c>
      <x:c r="G99" t="n">
        <x:f>C99+D99</x:f>
        <x:v>9</x:v>
      </x:c>
      <x:c r="H99" s="5" t="n">
        <x:f>IFERROR(C99/G99,"")</x:f>
        <x:v>0.1111111111111111</x:v>
      </x:c>
      <x:c r="I99" s="6" t="n">
        <x:f>E99+F99</x:f>
        <x:v>49</x:v>
      </x:c>
      <x:c r="J99" s="5" t="n">
        <x:f>IFERROR(E99/I99,"")</x:f>
        <x:v>0.20408163265306123</x:v>
      </x:c>
      <x:c r="K99" s="5" t="n">
        <x:f>H99-J99</x:f>
        <x:v>-0.09297052154195012</x:v>
      </x:c>
      <x:c r="L99" s="7" t="n">
        <x:f>IFERROR(H99/J99,"")</x:f>
        <x:v>0.5444444444444444</x:v>
      </x:c>
      <x:c r="M99" s="7" t="n">
        <x:f>IFERROR((C99*F99)/(D99*E99),"")</x:f>
        <x:v>0.4875</x:v>
      </x:c>
      <x:c r="N99" s="7" t="n">
        <x:f>IFERROR(EXP(LN(M99)-1.96*SQRT(1/C99+1/D99+1/E99+1/F99)),"")</x:f>
        <x:v>0.05445539143648126</x:v>
      </x:c>
      <x:c r="O99" s="7" t="n">
        <x:f>IFERROR(EXP(LN(M99)+1.96*SQRT(1/C99+1/D99+1/E99+1/F99)),"")</x:f>
        <x:v>4.36423729094319</x:v>
      </x:c>
      <x:c r="P99" s="8" t="n">
        <x:v>0.9999999999999933</x:v>
      </x:c>
      <x:c r="Q99" s="8" t="n">
        <x:v>0.9999999999999974</x:v>
      </x:c>
      <x:c r="R99" s="9" t="str">
        <x:v>통계적 후보이며 임상적 검토 필요.</x:v>
      </x:c>
      <x:c r="S99" t="str">
        <x:v>탐색</x:v>
      </x:c>
    </x:row>
    <x:row r="100" ht="36" customHeight="1">
      <x:c r="A100" t="str">
        <x:v>ACL</x:v>
      </x:c>
      <x:c r="B100" t="str">
        <x:v>MCL</x:v>
      </x:c>
      <x:c r="C100" t="n">
        <x:v>5</x:v>
      </x:c>
      <x:c r="D100" t="n">
        <x:v>19</x:v>
      </x:c>
      <x:c r="E100" t="n">
        <x:v>4</x:v>
      </x:c>
      <x:c r="F100" t="n">
        <x:v>30</x:v>
      </x:c>
      <x:c r="G100" t="n">
        <x:f>C100+D100</x:f>
        <x:v>24</x:v>
      </x:c>
      <x:c r="H100" s="5" t="n">
        <x:f>IFERROR(C100/G100,"")</x:f>
        <x:v>0.20833333333333334</x:v>
      </x:c>
      <x:c r="I100" s="6" t="n">
        <x:f>E100+F100</x:f>
        <x:v>34</x:v>
      </x:c>
      <x:c r="J100" s="5" t="n">
        <x:f>IFERROR(E100/I100,"")</x:f>
        <x:v>0.11764705882352941</x:v>
      </x:c>
      <x:c r="K100" s="5" t="n">
        <x:f>H100-J100</x:f>
        <x:v>0.09068627450980393</x:v>
      </x:c>
      <x:c r="L100" s="7" t="n">
        <x:f>IFERROR(H100/J100,"")</x:f>
        <x:v>1.7708333333333335</x:v>
      </x:c>
      <x:c r="M100" s="7" t="n">
        <x:f>IFERROR((C100*F100)/(D100*E100),"")</x:f>
        <x:v>1.9736842105263157</x:v>
      </x:c>
      <x:c r="N100" s="7" t="n">
        <x:f>IFERROR(EXP(LN(M100)-1.96*SQRT(1/C100+1/D100+1/E100+1/F100)),"")</x:f>
        <x:v>0.4700074718543286</x:v>
      </x:c>
      <x:c r="O100" s="7" t="n">
        <x:f>IFERROR(EXP(LN(M100)+1.96*SQRT(1/C100+1/D100+1/E100+1/F100)),"")</x:f>
        <x:v>8.288015821348925</x:v>
      </x:c>
      <x:c r="P100" s="8" t="n">
        <x:v>0.466719769746168</x:v>
      </x:c>
      <x:c r="Q100" s="8" t="n">
        <x:v>0.6619764589053057</x:v>
      </x:c>
      <x:c r="R100" s="9" t="str">
        <x:v>통계적 후보이며 임상적 검토 필요.</x:v>
      </x:c>
      <x:c r="S100" t="str">
        <x:v>탐색</x:v>
      </x:c>
    </x:row>
    <x:row r="101" ht="36" customHeight="1">
      <x:c r="A101" t="str">
        <x:v>Contusion</x:v>
      </x:c>
      <x:c r="B101" t="str">
        <x:v>Synovitis</x:v>
      </x:c>
      <x:c r="C101" t="n">
        <x:v>10</x:v>
      </x:c>
      <x:c r="D101" t="n">
        <x:v>9</x:v>
      </x:c>
      <x:c r="E101" t="n">
        <x:v>17</x:v>
      </x:c>
      <x:c r="F101" t="n">
        <x:v>22</x:v>
      </x:c>
      <x:c r="G101" t="n">
        <x:f>C101+D101</x:f>
        <x:v>19</x:v>
      </x:c>
      <x:c r="H101" s="5" t="n">
        <x:f>IFERROR(C101/G101,"")</x:f>
        <x:v>0.5263157894736842</x:v>
      </x:c>
      <x:c r="I101" s="6" t="n">
        <x:f>E101+F101</x:f>
        <x:v>39</x:v>
      </x:c>
      <x:c r="J101" s="5" t="n">
        <x:f>IFERROR(E101/I101,"")</x:f>
        <x:v>0.4358974358974359</x:v>
      </x:c>
      <x:c r="K101" s="5" t="n">
        <x:f>H101-J101</x:f>
        <x:v>0.09041835357624828</x:v>
      </x:c>
      <x:c r="L101" s="7" t="n">
        <x:f>IFERROR(H101/J101,"")</x:f>
        <x:v>1.2074303405572755</x:v>
      </x:c>
      <x:c r="M101" s="7" t="n">
        <x:f>IFERROR((C101*F101)/(D101*E101),"")</x:f>
        <x:v>1.4379084967320261</x:v>
      </x:c>
      <x:c r="N101" s="7" t="n">
        <x:f>IFERROR(EXP(LN(M101)-1.96*SQRT(1/C101+1/D101+1/E101+1/F101)),"")</x:f>
        <x:v>0.4782904967716608</x:v>
      </x:c>
      <x:c r="O101" s="7" t="n">
        <x:f>IFERROR(EXP(LN(M101)+1.96*SQRT(1/C101+1/D101+1/E101+1/F101)),"")</x:f>
        <x:v>4.32285579356019</x:v>
      </x:c>
      <x:c r="P101" s="8" t="n">
        <x:v>0.5821326309482115</x:v>
      </x:c>
      <x:c r="Q101" s="8" t="n">
        <x:v>0.7684150728516392</x:v>
      </x:c>
      <x:c r="R101" s="9" t="str">
        <x:v>통계적 후보이며 임상적 검토 필요.</x:v>
      </x:c>
      <x:c r="S101" t="str">
        <x:v>탐색</x:v>
      </x:c>
    </x:row>
    <x:row r="102" ht="36" customHeight="1">
      <x:c r="A102" t="str">
        <x:v>Medial OA</x:v>
      </x:c>
      <x:c r="B102" t="str">
        <x:v>Effusion</x:v>
      </x:c>
      <x:c r="C102" t="n">
        <x:v>10</x:v>
      </x:c>
      <x:c r="D102" t="n">
        <x:v>5</x:v>
      </x:c>
      <x:c r="E102" t="n">
        <x:v>25</x:v>
      </x:c>
      <x:c r="F102" t="n">
        <x:v>18</x:v>
      </x:c>
      <x:c r="G102" t="n">
        <x:f>C102+D102</x:f>
        <x:v>15</x:v>
      </x:c>
      <x:c r="H102" s="5" t="n">
        <x:f>IFERROR(C102/G102,"")</x:f>
        <x:v>0.6666666666666666</x:v>
      </x:c>
      <x:c r="I102" s="6" t="n">
        <x:f>E102+F102</x:f>
        <x:v>43</x:v>
      </x:c>
      <x:c r="J102" s="5" t="n">
        <x:f>IFERROR(E102/I102,"")</x:f>
        <x:v>0.5813953488372093</x:v>
      </x:c>
      <x:c r="K102" s="5" t="n">
        <x:f>H102-J102</x:f>
        <x:v>0.0852713178294573</x:v>
      </x:c>
      <x:c r="L102" s="7" t="n">
        <x:f>IFERROR(H102/J102,"")</x:f>
        <x:v>1.1466666666666665</x:v>
      </x:c>
      <x:c r="M102" s="7" t="n">
        <x:f>IFERROR((C102*F102)/(D102*E102),"")</x:f>
        <x:v>1.44</x:v>
      </x:c>
      <x:c r="N102" s="7" t="n">
        <x:f>IFERROR(EXP(LN(M102)-1.96*SQRT(1/C102+1/D102+1/E102+1/F102)),"")</x:f>
        <x:v>0.4197635282107644</x:v>
      </x:c>
      <x:c r="O102" s="7" t="n">
        <x:f>IFERROR(EXP(LN(M102)+1.96*SQRT(1/C102+1/D102+1/E102+1/F102)),"")</x:f>
        <x:v>4.939924173114059</x:v>
      </x:c>
      <x:c r="P102" s="8" t="n">
        <x:v>0.7604375752709767</x:v>
      </x:c>
      <x:c r="Q102" s="8" t="n">
        <x:v>0.8977588079187233</x:v>
      </x:c>
      <x:c r="R102" s="9" t="str">
        <x:v>통계적 후보이며 임상적 검토 필요.</x:v>
      </x:c>
      <x:c r="S102" t="str">
        <x:v>탐색</x:v>
      </x:c>
    </x:row>
    <x:row r="103" ht="36" customHeight="1">
      <x:c r="A103" t="str">
        <x:v>ACL</x:v>
      </x:c>
      <x:c r="B103" t="str">
        <x:v>Synovitis</x:v>
      </x:c>
      <x:c r="C103" t="n">
        <x:v>10</x:v>
      </x:c>
      <x:c r="D103" t="n">
        <x:v>14</x:v>
      </x:c>
      <x:c r="E103" t="n">
        <x:v>17</x:v>
      </x:c>
      <x:c r="F103" t="n">
        <x:v>17</x:v>
      </x:c>
      <x:c r="G103" t="n">
        <x:f>C103+D103</x:f>
        <x:v>24</x:v>
      </x:c>
      <x:c r="H103" s="5" t="n">
        <x:f>IFERROR(C103/G103,"")</x:f>
        <x:v>0.4166666666666667</x:v>
      </x:c>
      <x:c r="I103" s="6" t="n">
        <x:f>E103+F103</x:f>
        <x:v>34</x:v>
      </x:c>
      <x:c r="J103" s="5" t="n">
        <x:f>IFERROR(E103/I103,"")</x:f>
        <x:v>0.5</x:v>
      </x:c>
      <x:c r="K103" s="5" t="n">
        <x:f>H103-J103</x:f>
        <x:v>-0.08333333333333331</x:v>
      </x:c>
      <x:c r="L103" s="7" t="n">
        <x:f>IFERROR(H103/J103,"")</x:f>
        <x:v>0.8333333333333334</x:v>
      </x:c>
      <x:c r="M103" s="7" t="n">
        <x:f>IFERROR((C103*F103)/(D103*E103),"")</x:f>
        <x:v>0.7142857142857143</x:v>
      </x:c>
      <x:c r="N103" s="7" t="n">
        <x:f>IFERROR(EXP(LN(M103)-1.96*SQRT(1/C103+1/D103+1/E103+1/F103)),"")</x:f>
        <x:v>0.24900532059369723</x:v>
      </x:c>
      <x:c r="O103" s="7" t="n">
        <x:f>IFERROR(EXP(LN(M103)+1.96*SQRT(1/C103+1/D103+1/E103+1/F103)),"")</x:f>
        <x:v>2.04896859398902</x:v>
      </x:c>
      <x:c r="P103" s="8" t="n">
        <x:v>0.599264109412151</x:v>
      </x:c>
      <x:c r="Q103" s="8" t="n">
        <x:v>0.7755182592392542</x:v>
      </x:c>
      <x:c r="R103" s="9" t="str">
        <x:v>통계적 후보이며 임상적 검토 필요.</x:v>
      </x:c>
      <x:c r="S103" t="str">
        <x:v>탐색</x:v>
      </x:c>
    </x:row>
    <x:row r="104" ht="36" customHeight="1">
      <x:c r="A104" t="str">
        <x:v>Synovitis</x:v>
      </x:c>
      <x:c r="B104" t="str">
        <x:v>MCL</x:v>
      </x:c>
      <x:c r="C104" t="n">
        <x:v>3</x:v>
      </x:c>
      <x:c r="D104" t="n">
        <x:v>24</x:v>
      </x:c>
      <x:c r="E104" t="n">
        <x:v>6</x:v>
      </x:c>
      <x:c r="F104" t="n">
        <x:v>25</x:v>
      </x:c>
      <x:c r="G104" t="n">
        <x:f>C104+D104</x:f>
        <x:v>27</x:v>
      </x:c>
      <x:c r="H104" s="5" t="n">
        <x:f>IFERROR(C104/G104,"")</x:f>
        <x:v>0.1111111111111111</x:v>
      </x:c>
      <x:c r="I104" s="6" t="n">
        <x:f>E104+F104</x:f>
        <x:v>31</x:v>
      </x:c>
      <x:c r="J104" s="5" t="n">
        <x:f>IFERROR(E104/I104,"")</x:f>
        <x:v>0.1935483870967742</x:v>
      </x:c>
      <x:c r="K104" s="5" t="n">
        <x:f>H104-J104</x:f>
        <x:v>-0.08243727598566308</x:v>
      </x:c>
      <x:c r="L104" s="7" t="n">
        <x:f>IFERROR(H104/J104,"")</x:f>
        <x:v>0.5740740740740741</x:v>
      </x:c>
      <x:c r="M104" s="7" t="n">
        <x:f>IFERROR((C104*F104)/(D104*E104),"")</x:f>
        <x:v>0.5208333333333334</x:v>
      </x:c>
      <x:c r="N104" s="7" t="n">
        <x:f>IFERROR(EXP(LN(M104)-1.96*SQRT(1/C104+1/D104+1/E104+1/F104)),"")</x:f>
        <x:v>0.11681546073717011</x:v>
      </x:c>
      <x:c r="O104" s="7" t="n">
        <x:f>IFERROR(EXP(LN(M104)+1.96*SQRT(1/C104+1/D104+1/E104+1/F104)),"")</x:f>
        <x:v>2.3221871437159445</x:v>
      </x:c>
      <x:c r="P104" s="8" t="n">
        <x:v>0.4814374246584041</x:v>
      </x:c>
      <x:c r="Q104" s="8" t="n">
        <x:v>0.6619764589053057</x:v>
      </x:c>
      <x:c r="R104" s="9" t="str">
        <x:v>통계적 후보이며 임상적 검토 필요.</x:v>
      </x:c>
      <x:c r="S104" t="str">
        <x:v>탐색</x:v>
      </x:c>
    </x:row>
    <x:row r="105" ht="36" customHeight="1">
      <x:c r="A105" t="str">
        <x:v>Contusion</x:v>
      </x:c>
      <x:c r="B105" t="str">
        <x:v>MCL</x:v>
      </x:c>
      <x:c r="C105" t="n">
        <x:v>4</x:v>
      </x:c>
      <x:c r="D105" t="n">
        <x:v>15</x:v>
      </x:c>
      <x:c r="E105" t="n">
        <x:v>5</x:v>
      </x:c>
      <x:c r="F105" t="n">
        <x:v>34</x:v>
      </x:c>
      <x:c r="G105" t="n">
        <x:f>C105+D105</x:f>
        <x:v>19</x:v>
      </x:c>
      <x:c r="H105" s="5" t="n">
        <x:f>IFERROR(C105/G105,"")</x:f>
        <x:v>0.21052631578947367</x:v>
      </x:c>
      <x:c r="I105" s="6" t="n">
        <x:f>E105+F105</x:f>
        <x:v>39</x:v>
      </x:c>
      <x:c r="J105" s="5" t="n">
        <x:f>IFERROR(E105/I105,"")</x:f>
        <x:v>0.1282051282051282</x:v>
      </x:c>
      <x:c r="K105" s="5" t="n">
        <x:f>H105-J105</x:f>
        <x:v>0.08232118758434548</x:v>
      </x:c>
      <x:c r="L105" s="7" t="n">
        <x:f>IFERROR(H105/J105,"")</x:f>
        <x:v>1.6421052631578947</x:v>
      </x:c>
      <x:c r="M105" s="7" t="n">
        <x:f>IFERROR((C105*F105)/(D105*E105),"")</x:f>
        <x:v>1.8133333333333332</x:v>
      </x:c>
      <x:c r="N105" s="7" t="n">
        <x:f>IFERROR(EXP(LN(M105)-1.96*SQRT(1/C105+1/D105+1/E105+1/F105)),"")</x:f>
        <x:v>0.4260422429620191</x:v>
      </x:c>
      <x:c r="O105" s="7" t="n">
        <x:f>IFERROR(EXP(LN(M105)+1.96*SQRT(1/C105+1/D105+1/E105+1/F105)),"")</x:f>
        <x:v>7.717961850254632</x:v>
      </x:c>
      <x:c r="P105" s="8" t="n">
        <x:v>0.4561282309102705</x:v>
      </x:c>
      <x:c r="Q105" s="8" t="n">
        <x:v>0.6619764589053057</x:v>
      </x:c>
      <x:c r="R105" s="9" t="str">
        <x:v>통계적 후보이며 임상적 검토 필요.</x:v>
      </x:c>
      <x:c r="S105" t="str">
        <x:v>탐색</x:v>
      </x:c>
    </x:row>
    <x:row r="106" ht="36" customHeight="1">
      <x:c r="A106" t="str">
        <x:v>Synovitis</x:v>
      </x:c>
      <x:c r="B106" t="str">
        <x:v>ACL</x:v>
      </x:c>
      <x:c r="C106" t="n">
        <x:v>10</x:v>
      </x:c>
      <x:c r="D106" t="n">
        <x:v>17</x:v>
      </x:c>
      <x:c r="E106" t="n">
        <x:v>14</x:v>
      </x:c>
      <x:c r="F106" t="n">
        <x:v>17</x:v>
      </x:c>
      <x:c r="G106" t="n">
        <x:f>C106+D106</x:f>
        <x:v>27</x:v>
      </x:c>
      <x:c r="H106" s="5" t="n">
        <x:f>IFERROR(C106/G106,"")</x:f>
        <x:v>0.37037037037037035</x:v>
      </x:c>
      <x:c r="I106" s="6" t="n">
        <x:f>E106+F106</x:f>
        <x:v>31</x:v>
      </x:c>
      <x:c r="J106" s="5" t="n">
        <x:f>IFERROR(E106/I106,"")</x:f>
        <x:v>0.45161290322580644</x:v>
      </x:c>
      <x:c r="K106" s="5" t="n">
        <x:f>H106-J106</x:f>
        <x:v>-0.08124253285543609</x:v>
      </x:c>
      <x:c r="L106" s="7" t="n">
        <x:f>IFERROR(H106/J106,"")</x:f>
        <x:v>0.8201058201058201</x:v>
      </x:c>
      <x:c r="M106" s="7" t="n">
        <x:f>IFERROR((C106*F106)/(D106*E106),"")</x:f>
        <x:v>0.7142857142857143</x:v>
      </x:c>
      <x:c r="N106" s="7" t="n">
        <x:f>IFERROR(EXP(LN(M106)-1.96*SQRT(1/C106+1/D106+1/E106+1/F106)),"")</x:f>
        <x:v>0.2490053205936973</x:v>
      </x:c>
      <x:c r="O106" s="7" t="n">
        <x:f>IFERROR(EXP(LN(M106)+1.96*SQRT(1/C106+1/D106+1/E106+1/F106)),"")</x:f>
        <x:v>2.0489685939890196</x:v>
      </x:c>
      <x:c r="P106" s="8" t="n">
        <x:v>0.599264109412151</x:v>
      </x:c>
      <x:c r="Q106" s="8" t="n">
        <x:v>0.7755182592392542</x:v>
      </x:c>
      <x:c r="R106" s="9" t="str">
        <x:v>통계적 후보이며 임상적 검토 필요.</x:v>
      </x:c>
      <x:c r="S106" t="str">
        <x:v>탐색</x:v>
      </x:c>
    </x:row>
    <x:row r="107" ht="36" customHeight="1">
      <x:c r="A107" t="str">
        <x:v>Synovitis</x:v>
      </x:c>
      <x:c r="B107" t="str">
        <x:v>Contusion</x:v>
      </x:c>
      <x:c r="C107" t="n">
        <x:v>10</x:v>
      </x:c>
      <x:c r="D107" t="n">
        <x:v>17</x:v>
      </x:c>
      <x:c r="E107" t="n">
        <x:v>9</x:v>
      </x:c>
      <x:c r="F107" t="n">
        <x:v>22</x:v>
      </x:c>
      <x:c r="G107" t="n">
        <x:f>C107+D107</x:f>
        <x:v>27</x:v>
      </x:c>
      <x:c r="H107" s="5" t="n">
        <x:f>IFERROR(C107/G107,"")</x:f>
        <x:v>0.37037037037037035</x:v>
      </x:c>
      <x:c r="I107" s="6" t="n">
        <x:f>E107+F107</x:f>
        <x:v>31</x:v>
      </x:c>
      <x:c r="J107" s="5" t="n">
        <x:f>IFERROR(E107/I107,"")</x:f>
        <x:v>0.2903225806451613</x:v>
      </x:c>
      <x:c r="K107" s="5" t="n">
        <x:f>H107-J107</x:f>
        <x:v>0.08004778972520904</x:v>
      </x:c>
      <x:c r="L107" s="7" t="n">
        <x:f>IFERROR(H107/J107,"")</x:f>
        <x:v>1.2757201646090532</x:v>
      </x:c>
      <x:c r="M107" s="7" t="n">
        <x:f>IFERROR((C107*F107)/(D107*E107),"")</x:f>
        <x:v>1.4379084967320261</x:v>
      </x:c>
      <x:c r="N107" s="7" t="n">
        <x:f>IFERROR(EXP(LN(M107)-1.96*SQRT(1/C107+1/D107+1/E107+1/F107)),"")</x:f>
        <x:v>0.4782904967716608</x:v>
      </x:c>
      <x:c r="O107" s="7" t="n">
        <x:f>IFERROR(EXP(LN(M107)+1.96*SQRT(1/C107+1/D107+1/E107+1/F107)),"")</x:f>
        <x:v>4.32285579356019</x:v>
      </x:c>
      <x:c r="P107" s="8" t="n">
        <x:v>0.5821326309482115</x:v>
      </x:c>
      <x:c r="Q107" s="8" t="n">
        <x:v>0.7684150728516392</x:v>
      </x:c>
      <x:c r="R107" s="9" t="str">
        <x:v>통계적 후보이며 임상적 검토 필요.</x:v>
      </x:c>
      <x:c r="S107" t="str">
        <x:v>탐색</x:v>
      </x:c>
    </x:row>
    <x:row r="108" ht="36" customHeight="1">
      <x:c r="A108" t="str">
        <x:v>Baker's</x:v>
      </x:c>
      <x:c r="B108" t="str">
        <x:v>Effusion</x:v>
      </x:c>
      <x:c r="C108" t="n">
        <x:v>8</x:v>
      </x:c>
      <x:c r="D108" t="n">
        <x:v>4</x:v>
      </x:c>
      <x:c r="E108" t="n">
        <x:v>27</x:v>
      </x:c>
      <x:c r="F108" t="n">
        <x:v>19</x:v>
      </x:c>
      <x:c r="G108" t="n">
        <x:f>C108+D108</x:f>
        <x:v>12</x:v>
      </x:c>
      <x:c r="H108" s="5" t="n">
        <x:f>IFERROR(C108/G108,"")</x:f>
        <x:v>0.6666666666666666</x:v>
      </x:c>
      <x:c r="I108" s="6" t="n">
        <x:f>E108+F108</x:f>
        <x:v>46</x:v>
      </x:c>
      <x:c r="J108" s="5" t="n">
        <x:f>IFERROR(E108/I108,"")</x:f>
        <x:v>0.5869565217391305</x:v>
      </x:c>
      <x:c r="K108" s="5" t="n">
        <x:f>H108-J108</x:f>
        <x:v>0.07971014492753614</x:v>
      </x:c>
      <x:c r="L108" s="7" t="n">
        <x:f>IFERROR(H108/J108,"")</x:f>
        <x:v>1.1358024691358024</x:v>
      </x:c>
      <x:c r="M108" s="7" t="n">
        <x:f>IFERROR((C108*F108)/(D108*E108),"")</x:f>
        <x:v>1.4074074074074074</x:v>
      </x:c>
      <x:c r="N108" s="7" t="n">
        <x:f>IFERROR(EXP(LN(M108)-1.96*SQRT(1/C108+1/D108+1/E108+1/F108)),"")</x:f>
        <x:v>0.3699763545875264</x:v>
      </x:c>
      <x:c r="O108" s="7" t="n">
        <x:f>IFERROR(EXP(LN(M108)+1.96*SQRT(1/C108+1/D108+1/E108+1/F108)),"")</x:f>
        <x:v>5.353843795324595</x:v>
      </x:c>
      <x:c r="P108" s="8" t="n">
        <x:v>0.7462719269222695</x:v>
      </x:c>
      <x:c r="Q108" s="8" t="n">
        <x:v>0.8977588079187233</x:v>
      </x:c>
      <x:c r="R108" s="9" t="str">
        <x:v>통계적 후보이며 임상적 검토 필요.</x:v>
      </x:c>
      <x:c r="S108" t="str">
        <x:v>탐색</x:v>
      </x:c>
    </x:row>
    <x:row r="109" ht="36" customHeight="1">
      <x:c r="A109" t="str">
        <x:v>Lateral OA</x:v>
      </x:c>
      <x:c r="B109" t="str">
        <x:v>MCL</x:v>
      </x:c>
      <x:c r="C109" t="n">
        <x:v>1</x:v>
      </x:c>
      <x:c r="D109" t="n">
        <x:v>10</x:v>
      </x:c>
      <x:c r="E109" t="n">
        <x:v>8</x:v>
      </x:c>
      <x:c r="F109" t="n">
        <x:v>39</x:v>
      </x:c>
      <x:c r="G109" t="n">
        <x:f>C109+D109</x:f>
        <x:v>11</x:v>
      </x:c>
      <x:c r="H109" s="5" t="n">
        <x:f>IFERROR(C109/G109,"")</x:f>
        <x:v>0.09090909090909091</x:v>
      </x:c>
      <x:c r="I109" s="6" t="n">
        <x:f>E109+F109</x:f>
        <x:v>47</x:v>
      </x:c>
      <x:c r="J109" s="5" t="n">
        <x:f>IFERROR(E109/I109,"")</x:f>
        <x:v>0.1702127659574468</x:v>
      </x:c>
      <x:c r="K109" s="5" t="n">
        <x:f>H109-J109</x:f>
        <x:v>-0.07930367504835589</x:v>
      </x:c>
      <x:c r="L109" s="7" t="n">
        <x:f>IFERROR(H109/J109,"")</x:f>
        <x:v>0.5340909090909092</x:v>
      </x:c>
      <x:c r="M109" s="7" t="n">
        <x:f>IFERROR((C109*F109)/(D109*E109),"")</x:f>
        <x:v>0.4875</x:v>
      </x:c>
      <x:c r="N109" s="7" t="n">
        <x:f>IFERROR(EXP(LN(M109)-1.96*SQRT(1/C109+1/D109+1/E109+1/F109)),"")</x:f>
        <x:v>0.05445539143648126</x:v>
      </x:c>
      <x:c r="O109" s="7" t="n">
        <x:f>IFERROR(EXP(LN(M109)+1.96*SQRT(1/C109+1/D109+1/E109+1/F109)),"")</x:f>
        <x:v>4.36423729094319</x:v>
      </x:c>
      <x:c r="P109" s="8" t="n">
        <x:v>0.9999999999999933</x:v>
      </x:c>
      <x:c r="Q109" s="8" t="n">
        <x:v>0.9999999999999974</x:v>
      </x:c>
      <x:c r="R109" s="9" t="str">
        <x:v>통계적 후보이며 임상적 검토 필요.</x:v>
      </x:c>
      <x:c r="S109" t="str">
        <x:v>탐색</x:v>
      </x:c>
    </x:row>
    <x:row r="110" ht="36" customHeight="1">
      <x:c r="A110" t="str">
        <x:v>Fracture</x:v>
      </x:c>
      <x:c r="B110" t="str">
        <x:v>Medial Meniscus</x:v>
      </x:c>
      <x:c r="C110" t="n">
        <x:v>9</x:v>
      </x:c>
      <x:c r="D110" t="n">
        <x:v>9</x:v>
      </x:c>
      <x:c r="E110" t="n">
        <x:v>17</x:v>
      </x:c>
      <x:c r="F110" t="n">
        <x:v>23</x:v>
      </x:c>
      <x:c r="G110" t="n">
        <x:f>C110+D110</x:f>
        <x:v>18</x:v>
      </x:c>
      <x:c r="H110" s="5" t="n">
        <x:f>IFERROR(C110/G110,"")</x:f>
        <x:v>0.5</x:v>
      </x:c>
      <x:c r="I110" s="6" t="n">
        <x:f>E110+F110</x:f>
        <x:v>40</x:v>
      </x:c>
      <x:c r="J110" s="5" t="n">
        <x:f>IFERROR(E110/I110,"")</x:f>
        <x:v>0.425</x:v>
      </x:c>
      <x:c r="K110" s="5" t="n">
        <x:f>H110-J110</x:f>
        <x:v>0.07500000000000001</x:v>
      </x:c>
      <x:c r="L110" s="7" t="n">
        <x:f>IFERROR(H110/J110,"")</x:f>
        <x:v>1.1764705882352942</x:v>
      </x:c>
      <x:c r="M110" s="7" t="n">
        <x:f>IFERROR((C110*F110)/(D110*E110),"")</x:f>
        <x:v>1.3529411764705883</x:v>
      </x:c>
      <x:c r="N110" s="7" t="n">
        <x:f>IFERROR(EXP(LN(M110)-1.96*SQRT(1/C110+1/D110+1/E110+1/F110)),"")</x:f>
        <x:v>0.4429614618199275</x:v>
      </x:c>
      <x:c r="O110" s="7" t="n">
        <x:f>IFERROR(EXP(LN(M110)+1.96*SQRT(1/C110+1/D110+1/E110+1/F110)),"")</x:f>
        <x:v>4.13230040254322</x:v>
      </x:c>
      <x:c r="P110" s="8" t="n">
        <x:v>0.776017490625502</x:v>
      </x:c>
      <x:c r="Q110" s="8" t="n">
        <x:v>0.8977588079187233</x:v>
      </x:c>
      <x:c r="R110" s="9" t="str">
        <x:v>통계적 후보이며 임상적 검토 필요.</x:v>
      </x:c>
      <x:c r="S110" t="str">
        <x:v>탐색</x:v>
      </x:c>
    </x:row>
    <x:row r="111" ht="36" customHeight="1">
      <x:c r="A111" t="str">
        <x:v>Contusion</x:v>
      </x:c>
      <x:c r="B111" t="str">
        <x:v>Baker's</x:v>
      </x:c>
      <x:c r="C111" t="n">
        <x:v>3</x:v>
      </x:c>
      <x:c r="D111" t="n">
        <x:v>16</x:v>
      </x:c>
      <x:c r="E111" t="n">
        <x:v>9</x:v>
      </x:c>
      <x:c r="F111" t="n">
        <x:v>30</x:v>
      </x:c>
      <x:c r="G111" t="n">
        <x:f>C111+D111</x:f>
        <x:v>19</x:v>
      </x:c>
      <x:c r="H111" s="5" t="n">
        <x:f>IFERROR(C111/G111,"")</x:f>
        <x:v>0.15789473684210525</x:v>
      </x:c>
      <x:c r="I111" s="6" t="n">
        <x:f>E111+F111</x:f>
        <x:v>39</x:v>
      </x:c>
      <x:c r="J111" s="5" t="n">
        <x:f>IFERROR(E111/I111,"")</x:f>
        <x:v>0.23076923076923078</x:v>
      </x:c>
      <x:c r="K111" s="5" t="n">
        <x:f>H111-J111</x:f>
        <x:v>-0.07287449392712553</x:v>
      </x:c>
      <x:c r="L111" s="7" t="n">
        <x:f>IFERROR(H111/J111,"")</x:f>
        <x:v>0.6842105263157894</x:v>
      </x:c>
      <x:c r="M111" s="7" t="n">
        <x:f>IFERROR((C111*F111)/(D111*E111),"")</x:f>
        <x:v>0.625</x:v>
      </x:c>
      <x:c r="N111" s="7" t="n">
        <x:f>IFERROR(EXP(LN(M111)-1.96*SQRT(1/C111+1/D111+1/E111+1/F111)),"")</x:f>
        <x:v>0.14798061435315904</x:v>
      </x:c>
      <x:c r="O111" s="7" t="n">
        <x:f>IFERROR(EXP(LN(M111)+1.96*SQRT(1/C111+1/D111+1/E111+1/F111)),"")</x:f>
        <x:v>2.6397038673441693</x:v>
      </x:c>
      <x:c r="P111" s="8" t="n">
        <x:v>0.7325998647912219</x:v>
      </x:c>
      <x:c r="Q111" s="8" t="n">
        <x:v>0.8977588079187233</x:v>
      </x:c>
      <x:c r="R111" s="9" t="str">
        <x:v>통계적 후보이며 임상적 검토 필요.</x:v>
      </x:c>
      <x:c r="S111" t="str">
        <x:v>탐색</x:v>
      </x:c>
    </x:row>
    <x:row r="112" ht="36" customHeight="1">
      <x:c r="A112" t="str">
        <x:v>ACL</x:v>
      </x:c>
      <x:c r="B112" t="str">
        <x:v>Baker's</x:v>
      </x:c>
      <x:c r="C112" t="n">
        <x:v>4</x:v>
      </x:c>
      <x:c r="D112" t="n">
        <x:v>20</x:v>
      </x:c>
      <x:c r="E112" t="n">
        <x:v>8</x:v>
      </x:c>
      <x:c r="F112" t="n">
        <x:v>26</x:v>
      </x:c>
      <x:c r="G112" t="n">
        <x:f>C112+D112</x:f>
        <x:v>24</x:v>
      </x:c>
      <x:c r="H112" s="5" t="n">
        <x:f>IFERROR(C112/G112,"")</x:f>
        <x:v>0.16666666666666666</x:v>
      </x:c>
      <x:c r="I112" s="6" t="n">
        <x:f>E112+F112</x:f>
        <x:v>34</x:v>
      </x:c>
      <x:c r="J112" s="5" t="n">
        <x:f>IFERROR(E112/I112,"")</x:f>
        <x:v>0.23529411764705882</x:v>
      </x:c>
      <x:c r="K112" s="5" t="n">
        <x:f>H112-J112</x:f>
        <x:v>-0.06862745098039216</x:v>
      </x:c>
      <x:c r="L112" s="7" t="n">
        <x:f>IFERROR(H112/J112,"")</x:f>
        <x:v>0.7083333333333333</x:v>
      </x:c>
      <x:c r="M112" s="7" t="n">
        <x:f>IFERROR((C112*F112)/(D112*E112),"")</x:f>
        <x:v>0.65</x:v>
      </x:c>
      <x:c r="N112" s="7" t="n">
        <x:f>IFERROR(EXP(LN(M112)-1.96*SQRT(1/C112+1/D112+1/E112+1/F112)),"")</x:f>
        <x:v>0.171167631187102</x:v>
      </x:c>
      <x:c r="O112" s="7" t="n">
        <x:f>IFERROR(EXP(LN(M112)+1.96*SQRT(1/C112+1/D112+1/E112+1/F112)),"")</x:f>
        <x:v>2.468340521334718</x:v>
      </x:c>
      <x:c r="P112" s="8" t="n">
        <x:v>0.7436011051003918</x:v>
      </x:c>
      <x:c r="Q112" s="8" t="n">
        <x:v>0.8977588079187233</x:v>
      </x:c>
      <x:c r="R112" s="9" t="str">
        <x:v>통계적 후보이며 임상적 검토 필요.</x:v>
      </x:c>
      <x:c r="S112" t="str">
        <x:v>탐색</x:v>
      </x:c>
    </x:row>
    <x:row r="113" ht="36" customHeight="1">
      <x:c r="A113" t="str">
        <x:v>Effusion</x:v>
      </x:c>
      <x:c r="B113" t="str">
        <x:v>Medial OA</x:v>
      </x:c>
      <x:c r="C113" t="n">
        <x:v>10</x:v>
      </x:c>
      <x:c r="D113" t="n">
        <x:v>25</x:v>
      </x:c>
      <x:c r="E113" t="n">
        <x:v>5</x:v>
      </x:c>
      <x:c r="F113" t="n">
        <x:v>18</x:v>
      </x:c>
      <x:c r="G113" t="n">
        <x:f>C113+D113</x:f>
        <x:v>35</x:v>
      </x:c>
      <x:c r="H113" s="5" t="n">
        <x:f>IFERROR(C113/G113,"")</x:f>
        <x:v>0.2857142857142857</x:v>
      </x:c>
      <x:c r="I113" s="6" t="n">
        <x:f>E113+F113</x:f>
        <x:v>23</x:v>
      </x:c>
      <x:c r="J113" s="5" t="n">
        <x:f>IFERROR(E113/I113,"")</x:f>
        <x:v>0.21739130434782608</x:v>
      </x:c>
      <x:c r="K113" s="5" t="n">
        <x:f>H113-J113</x:f>
        <x:v>0.06832298136645962</x:v>
      </x:c>
      <x:c r="L113" s="7" t="n">
        <x:f>IFERROR(H113/J113,"")</x:f>
        <x:v>1.3142857142857143</x:v>
      </x:c>
      <x:c r="M113" s="7" t="n">
        <x:f>IFERROR((C113*F113)/(D113*E113),"")</x:f>
        <x:v>1.44</x:v>
      </x:c>
      <x:c r="N113" s="7" t="n">
        <x:f>IFERROR(EXP(LN(M113)-1.96*SQRT(1/C113+1/D113+1/E113+1/F113)),"")</x:f>
        <x:v>0.4197635282107644</x:v>
      </x:c>
      <x:c r="O113" s="7" t="n">
        <x:f>IFERROR(EXP(LN(M113)+1.96*SQRT(1/C113+1/D113+1/E113+1/F113)),"")</x:f>
        <x:v>4.939924173114059</x:v>
      </x:c>
      <x:c r="P113" s="8" t="n">
        <x:v>0.7604375752709767</x:v>
      </x:c>
      <x:c r="Q113" s="8" t="n">
        <x:v>0.8977588079187233</x:v>
      </x:c>
      <x:c r="R113" s="9" t="str">
        <x:v>통계적 후보이며 임상적 검토 필요.</x:v>
      </x:c>
      <x:c r="S113" t="str">
        <x:v>탐색</x:v>
      </x:c>
    </x:row>
    <x:row r="114" ht="36" customHeight="1">
      <x:c r="A114" t="str">
        <x:v>Medial Meniscus</x:v>
      </x:c>
      <x:c r="B114" t="str">
        <x:v>Fracture</x:v>
      </x:c>
      <x:c r="C114" t="n">
        <x:v>9</x:v>
      </x:c>
      <x:c r="D114" t="n">
        <x:v>17</x:v>
      </x:c>
      <x:c r="E114" t="n">
        <x:v>9</x:v>
      </x:c>
      <x:c r="F114" t="n">
        <x:v>23</x:v>
      </x:c>
      <x:c r="G114" t="n">
        <x:f>C114+D114</x:f>
        <x:v>26</x:v>
      </x:c>
      <x:c r="H114" s="5" t="n">
        <x:f>IFERROR(C114/G114,"")</x:f>
        <x:v>0.34615384615384615</x:v>
      </x:c>
      <x:c r="I114" s="6" t="n">
        <x:f>E114+F114</x:f>
        <x:v>32</x:v>
      </x:c>
      <x:c r="J114" s="5" t="n">
        <x:f>IFERROR(E114/I114,"")</x:f>
        <x:v>0.28125</x:v>
      </x:c>
      <x:c r="K114" s="5" t="n">
        <x:f>H114-J114</x:f>
        <x:v>0.06490384615384615</x:v>
      </x:c>
      <x:c r="L114" s="7" t="n">
        <x:f>IFERROR(H114/J114,"")</x:f>
        <x:v>1.2307692307692308</x:v>
      </x:c>
      <x:c r="M114" s="7" t="n">
        <x:f>IFERROR((C114*F114)/(D114*E114),"")</x:f>
        <x:v>1.3529411764705883</x:v>
      </x:c>
      <x:c r="N114" s="7" t="n">
        <x:f>IFERROR(EXP(LN(M114)-1.96*SQRT(1/C114+1/D114+1/E114+1/F114)),"")</x:f>
        <x:v>0.4429614618199275</x:v>
      </x:c>
      <x:c r="O114" s="7" t="n">
        <x:f>IFERROR(EXP(LN(M114)+1.96*SQRT(1/C114+1/D114+1/E114+1/F114)),"")</x:f>
        <x:v>4.13230040254322</x:v>
      </x:c>
      <x:c r="P114" s="8" t="n">
        <x:v>0.776017490625502</x:v>
      </x:c>
      <x:c r="Q114" s="8" t="n">
        <x:v>0.8977588079187233</x:v>
      </x:c>
      <x:c r="R114" s="9" t="str">
        <x:v>통계적 후보이며 임상적 검토 필요.</x:v>
      </x:c>
      <x:c r="S114" t="str">
        <x:v>탐색</x:v>
      </x:c>
    </x:row>
    <x:row r="115" ht="36" customHeight="1">
      <x:c r="A115" t="str">
        <x:v>Lateral OA</x:v>
      </x:c>
      <x:c r="B115" t="str">
        <x:v>ACL</x:v>
      </x:c>
      <x:c r="C115" t="n">
        <x:v>4</x:v>
      </x:c>
      <x:c r="D115" t="n">
        <x:v>7</x:v>
      </x:c>
      <x:c r="E115" t="n">
        <x:v>20</x:v>
      </x:c>
      <x:c r="F115" t="n">
        <x:v>27</x:v>
      </x:c>
      <x:c r="G115" t="n">
        <x:f>C115+D115</x:f>
        <x:v>11</x:v>
      </x:c>
      <x:c r="H115" s="5" t="n">
        <x:f>IFERROR(C115/G115,"")</x:f>
        <x:v>0.36363636363636365</x:v>
      </x:c>
      <x:c r="I115" s="6" t="n">
        <x:f>E115+F115</x:f>
        <x:v>47</x:v>
      </x:c>
      <x:c r="J115" s="5" t="n">
        <x:f>IFERROR(E115/I115,"")</x:f>
        <x:v>0.425531914893617</x:v>
      </x:c>
      <x:c r="K115" s="5" t="n">
        <x:f>H115-J115</x:f>
        <x:v>-0.06189555125725338</x:v>
      </x:c>
      <x:c r="L115" s="7" t="n">
        <x:f>IFERROR(H115/J115,"")</x:f>
        <x:v>0.8545454545454546</x:v>
      </x:c>
      <x:c r="M115" s="7" t="n">
        <x:f>IFERROR((C115*F115)/(D115*E115),"")</x:f>
        <x:v>0.7714285714285715</x:v>
      </x:c>
      <x:c r="N115" s="7" t="n">
        <x:f>IFERROR(EXP(LN(M115)-1.96*SQRT(1/C115+1/D115+1/E115+1/F115)),"")</x:f>
        <x:v>0.1984358634787597</x:v>
      </x:c>
      <x:c r="O115" s="7" t="n">
        <x:f>IFERROR(EXP(LN(M115)+1.96*SQRT(1/C115+1/D115+1/E115+1/F115)),"")</x:f>
        <x:v>2.9989641508528297</x:v>
      </x:c>
      <x:c r="P115" s="8" t="n">
        <x:v>0.9999999999999934</x:v>
      </x:c>
      <x:c r="Q115" s="8" t="n">
        <x:v>0.9999999999999974</x:v>
      </x:c>
      <x:c r="R115" s="9" t="str">
        <x:v>통계적 후보이며 임상적 검토 필요.</x:v>
      </x:c>
      <x:c r="S115" t="str">
        <x:v>탐색</x:v>
      </x:c>
    </x:row>
    <x:row r="116" ht="36" customHeight="1">
      <x:c r="A116" t="str">
        <x:v>MCL</x:v>
      </x:c>
      <x:c r="B116" t="str">
        <x:v>Lateral Meniscus</x:v>
      </x:c>
      <x:c r="C116" t="n">
        <x:v>4</x:v>
      </x:c>
      <x:c r="D116" t="n">
        <x:v>5</x:v>
      </x:c>
      <x:c r="E116" t="n">
        <x:v>19</x:v>
      </x:c>
      <x:c r="F116" t="n">
        <x:v>30</x:v>
      </x:c>
      <x:c r="G116" t="n">
        <x:f>C116+D116</x:f>
        <x:v>9</x:v>
      </x:c>
      <x:c r="H116" s="5" t="n">
        <x:f>IFERROR(C116/G116,"")</x:f>
        <x:v>0.4444444444444444</x:v>
      </x:c>
      <x:c r="I116" s="6" t="n">
        <x:f>E116+F116</x:f>
        <x:v>49</x:v>
      </x:c>
      <x:c r="J116" s="5" t="n">
        <x:f>IFERROR(E116/I116,"")</x:f>
        <x:v>0.3877551020408163</x:v>
      </x:c>
      <x:c r="K116" s="5" t="n">
        <x:f>H116-J116</x:f>
        <x:v>0.05668934240362811</x:v>
      </x:c>
      <x:c r="L116" s="7" t="n">
        <x:f>IFERROR(H116/J116,"")</x:f>
        <x:v>1.1461988304093567</x:v>
      </x:c>
      <x:c r="M116" s="7" t="n">
        <x:f>IFERROR((C116*F116)/(D116*E116),"")</x:f>
        <x:v>1.263157894736842</x:v>
      </x:c>
      <x:c r="N116" s="7" t="n">
        <x:f>IFERROR(EXP(LN(M116)-1.96*SQRT(1/C116+1/D116+1/E116+1/F116)),"")</x:f>
        <x:v>0.3008047819867703</x:v>
      </x:c>
      <x:c r="O116" s="7" t="n">
        <x:f>IFERROR(EXP(LN(M116)+1.96*SQRT(1/C116+1/D116+1/E116+1/F116)),"")</x:f>
        <x:v>5.304330125663313</x:v>
      </x:c>
      <x:c r="P116" s="8" t="n">
        <x:v>0.9999999999999934</x:v>
      </x:c>
      <x:c r="Q116" s="8" t="n">
        <x:v>0.9999999999999974</x:v>
      </x:c>
      <x:c r="R116" s="9" t="str">
        <x:v>통계적 후보이며 임상적 검토 필요.</x:v>
      </x:c>
      <x:c r="S116" t="str">
        <x:v>탐색</x:v>
      </x:c>
    </x:row>
    <x:row r="117" ht="36" customHeight="1">
      <x:c r="A117" t="str">
        <x:v>MCL</x:v>
      </x:c>
      <x:c r="B117" t="str">
        <x:v>Effusion</x:v>
      </x:c>
      <x:c r="C117" t="n">
        <x:v>5</x:v>
      </x:c>
      <x:c r="D117" t="n">
        <x:v>4</x:v>
      </x:c>
      <x:c r="E117" t="n">
        <x:v>30</x:v>
      </x:c>
      <x:c r="F117" t="n">
        <x:v>19</x:v>
      </x:c>
      <x:c r="G117" t="n">
        <x:f>C117+D117</x:f>
        <x:v>9</x:v>
      </x:c>
      <x:c r="H117" s="5" t="n">
        <x:f>IFERROR(C117/G117,"")</x:f>
        <x:v>0.5555555555555556</x:v>
      </x:c>
      <x:c r="I117" s="6" t="n">
        <x:f>E117+F117</x:f>
        <x:v>49</x:v>
      </x:c>
      <x:c r="J117" s="5" t="n">
        <x:f>IFERROR(E117/I117,"")</x:f>
        <x:v>0.6122448979591837</x:v>
      </x:c>
      <x:c r="K117" s="5" t="n">
        <x:f>H117-J117</x:f>
        <x:v>-0.05668934240362811</x:v>
      </x:c>
      <x:c r="L117" s="7" t="n">
        <x:f>IFERROR(H117/J117,"")</x:f>
        <x:v>0.9074074074074074</x:v>
      </x:c>
      <x:c r="M117" s="7" t="n">
        <x:f>IFERROR((C117*F117)/(D117*E117),"")</x:f>
        <x:v>0.7916666666666666</x:v>
      </x:c>
      <x:c r="N117" s="7" t="n">
        <x:f>IFERROR(EXP(LN(M117)-1.96*SQRT(1/C117+1/D117+1/E117+1/F117)),"")</x:f>
        <x:v>0.18852521926601404</x:v>
      </x:c>
      <x:c r="O117" s="7" t="n">
        <x:f>IFERROR(EXP(LN(M117)+1.96*SQRT(1/C117+1/D117+1/E117+1/F117)),"")</x:f>
        <x:v>3.324415235007736</x:v>
      </x:c>
      <x:c r="P117" s="8" t="n">
        <x:v>0.9999999999999936</x:v>
      </x:c>
      <x:c r="Q117" s="8" t="n">
        <x:v>0.9999999999999974</x:v>
      </x:c>
      <x:c r="R117" s="9" t="str">
        <x:v>통계적 후보이며 임상적 검토 필요.</x:v>
      </x:c>
      <x:c r="S117" t="str">
        <x:v>탐색</x:v>
      </x:c>
    </x:row>
    <x:row r="118" ht="36" customHeight="1">
      <x:c r="A118" t="str">
        <x:v>Effusion</x:v>
      </x:c>
      <x:c r="B118" t="str">
        <x:v>Baker's</x:v>
      </x:c>
      <x:c r="C118" t="n">
        <x:v>8</x:v>
      </x:c>
      <x:c r="D118" t="n">
        <x:v>27</x:v>
      </x:c>
      <x:c r="E118" t="n">
        <x:v>4</x:v>
      </x:c>
      <x:c r="F118" t="n">
        <x:v>19</x:v>
      </x:c>
      <x:c r="G118" t="n">
        <x:f>C118+D118</x:f>
        <x:v>35</x:v>
      </x:c>
      <x:c r="H118" s="5" t="n">
        <x:f>IFERROR(C118/G118,"")</x:f>
        <x:v>0.22857142857142856</x:v>
      </x:c>
      <x:c r="I118" s="6" t="n">
        <x:f>E118+F118</x:f>
        <x:v>23</x:v>
      </x:c>
      <x:c r="J118" s="5" t="n">
        <x:f>IFERROR(E118/I118,"")</x:f>
        <x:v>0.17391304347826086</x:v>
      </x:c>
      <x:c r="K118" s="5" t="n">
        <x:f>H118-J118</x:f>
        <x:v>0.0546583850931677</x:v>
      </x:c>
      <x:c r="L118" s="7" t="n">
        <x:f>IFERROR(H118/J118,"")</x:f>
        <x:v>1.3142857142857143</x:v>
      </x:c>
      <x:c r="M118" s="7" t="n">
        <x:f>IFERROR((C118*F118)/(D118*E118),"")</x:f>
        <x:v>1.4074074074074074</x:v>
      </x:c>
      <x:c r="N118" s="7" t="n">
        <x:f>IFERROR(EXP(LN(M118)-1.96*SQRT(1/C118+1/D118+1/E118+1/F118)),"")</x:f>
        <x:v>0.3699763545875264</x:v>
      </x:c>
      <x:c r="O118" s="7" t="n">
        <x:f>IFERROR(EXP(LN(M118)+1.96*SQRT(1/C118+1/D118+1/E118+1/F118)),"")</x:f>
        <x:v>5.353843795324595</x:v>
      </x:c>
      <x:c r="P118" s="8" t="n">
        <x:v>0.7462719269222695</x:v>
      </x:c>
      <x:c r="Q118" s="8" t="n">
        <x:v>0.8977588079187233</x:v>
      </x:c>
      <x:c r="R118" s="9" t="str">
        <x:v>통계적 후보이며 임상적 검토 필요.</x:v>
      </x:c>
      <x:c r="S118" t="str">
        <x:v>탐색</x:v>
      </x:c>
    </x:row>
    <x:row r="119" ht="36" customHeight="1">
      <x:c r="A119" t="str">
        <x:v>Fracture</x:v>
      </x:c>
      <x:c r="B119" t="str">
        <x:v>Synovitis</x:v>
      </x:c>
      <x:c r="C119" t="n">
        <x:v>9</x:v>
      </x:c>
      <x:c r="D119" t="n">
        <x:v>9</x:v>
      </x:c>
      <x:c r="E119" t="n">
        <x:v>18</x:v>
      </x:c>
      <x:c r="F119" t="n">
        <x:v>22</x:v>
      </x:c>
      <x:c r="G119" t="n">
        <x:f>C119+D119</x:f>
        <x:v>18</x:v>
      </x:c>
      <x:c r="H119" s="5" t="n">
        <x:f>IFERROR(C119/G119,"")</x:f>
        <x:v>0.5</x:v>
      </x:c>
      <x:c r="I119" s="6" t="n">
        <x:f>E119+F119</x:f>
        <x:v>40</x:v>
      </x:c>
      <x:c r="J119" s="5" t="n">
        <x:f>IFERROR(E119/I119,"")</x:f>
        <x:v>0.45</x:v>
      </x:c>
      <x:c r="K119" s="5" t="n">
        <x:f>H119-J119</x:f>
        <x:v>0.04999999999999999</x:v>
      </x:c>
      <x:c r="L119" s="7" t="n">
        <x:f>IFERROR(H119/J119,"")</x:f>
        <x:v>1.1111111111111112</x:v>
      </x:c>
      <x:c r="M119" s="7" t="n">
        <x:f>IFERROR((C119*F119)/(D119*E119),"")</x:f>
        <x:v>1.2222222222222223</x:v>
      </x:c>
      <x:c r="N119" s="7" t="n">
        <x:f>IFERROR(EXP(LN(M119)-1.96*SQRT(1/C119+1/D119+1/E119+1/F119)),"")</x:f>
        <x:v>0.4010543270103579</x:v>
      </x:c>
      <x:c r="O119" s="7" t="n">
        <x:f>IFERROR(EXP(LN(M119)+1.96*SQRT(1/C119+1/D119+1/E119+1/F119)),"")</x:f>
        <x:v>3.7247501395371976</x:v>
      </x:c>
      <x:c r="P119" s="8" t="n">
        <x:v>0.781174982617682</x:v>
      </x:c>
      <x:c r="Q119" s="8" t="n">
        <x:v>0.8977588079187233</x:v>
      </x:c>
      <x:c r="R119" s="9" t="str">
        <x:v>통계적 후보이며 임상적 검토 필요.</x:v>
      </x:c>
      <x:c r="S119" t="str">
        <x:v>탐색</x:v>
      </x:c>
    </x:row>
    <x:row r="120" ht="36" customHeight="1">
      <x:c r="A120" t="str">
        <x:v>PF OA</x:v>
      </x:c>
      <x:c r="B120" t="str">
        <x:v>Medial Meniscus</x:v>
      </x:c>
      <x:c r="C120" t="n">
        <x:v>10</x:v>
      </x:c>
      <x:c r="D120" t="n">
        <x:v>11</x:v>
      </x:c>
      <x:c r="E120" t="n">
        <x:v>16</x:v>
      </x:c>
      <x:c r="F120" t="n">
        <x:v>21</x:v>
      </x:c>
      <x:c r="G120" t="n">
        <x:f>C120+D120</x:f>
        <x:v>21</x:v>
      </x:c>
      <x:c r="H120" s="5" t="n">
        <x:f>IFERROR(C120/G120,"")</x:f>
        <x:v>0.47619047619047616</x:v>
      </x:c>
      <x:c r="I120" s="6" t="n">
        <x:f>E120+F120</x:f>
        <x:v>37</x:v>
      </x:c>
      <x:c r="J120" s="5" t="n">
        <x:f>IFERROR(E120/I120,"")</x:f>
        <x:v>0.43243243243243246</x:v>
      </x:c>
      <x:c r="K120" s="5" t="n">
        <x:f>H120-J120</x:f>
        <x:v>0.04375804375804371</x:v>
      </x:c>
      <x:c r="L120" s="7" t="n">
        <x:f>IFERROR(H120/J120,"")</x:f>
        <x:v>1.101190476190476</x:v>
      </x:c>
      <x:c r="M120" s="7" t="n">
        <x:f>IFERROR((C120*F120)/(D120*E120),"")</x:f>
        <x:v>1.1931818181818181</x:v>
      </x:c>
      <x:c r="N120" s="7" t="n">
        <x:f>IFERROR(EXP(LN(M120)-1.96*SQRT(1/C120+1/D120+1/E120+1/F120)),"")</x:f>
        <x:v>0.40707791405006477</x:v>
      </x:c>
      <x:c r="O120" s="7" t="n">
        <x:f>IFERROR(EXP(LN(M120)+1.96*SQRT(1/C120+1/D120+1/E120+1/F120)),"")</x:f>
        <x:v>3.4973227534633007</x:v>
      </x:c>
      <x:c r="P120" s="8" t="n">
        <x:v>0.7889395584740295</x:v>
      </x:c>
      <x:c r="Q120" s="8" t="n">
        <x:v>0.8977588079187233</x:v>
      </x:c>
      <x:c r="R120" s="9" t="str">
        <x:v>통계적 후보이며 임상적 검토 필요.</x:v>
      </x:c>
      <x:c r="S120" t="str">
        <x:v>탐색</x:v>
      </x:c>
    </x:row>
    <x:row r="121" ht="36" customHeight="1">
      <x:c r="A121" t="str">
        <x:v>Synovitis</x:v>
      </x:c>
      <x:c r="B121" t="str">
        <x:v>Fracture</x:v>
      </x:c>
      <x:c r="C121" t="n">
        <x:v>9</x:v>
      </x:c>
      <x:c r="D121" t="n">
        <x:v>18</x:v>
      </x:c>
      <x:c r="E121" t="n">
        <x:v>9</x:v>
      </x:c>
      <x:c r="F121" t="n">
        <x:v>22</x:v>
      </x:c>
      <x:c r="G121" t="n">
        <x:f>C121+D121</x:f>
        <x:v>27</x:v>
      </x:c>
      <x:c r="H121" s="5" t="n">
        <x:f>IFERROR(C121/G121,"")</x:f>
        <x:v>0.3333333333333333</x:v>
      </x:c>
      <x:c r="I121" s="6" t="n">
        <x:f>E121+F121</x:f>
        <x:v>31</x:v>
      </x:c>
      <x:c r="J121" s="5" t="n">
        <x:f>IFERROR(E121/I121,"")</x:f>
        <x:v>0.2903225806451613</x:v>
      </x:c>
      <x:c r="K121" s="5" t="n">
        <x:f>H121-J121</x:f>
        <x:v>0.043010752688172005</x:v>
      </x:c>
      <x:c r="L121" s="7" t="n">
        <x:f>IFERROR(H121/J121,"")</x:f>
        <x:v>1.148148148148148</x:v>
      </x:c>
      <x:c r="M121" s="7" t="n">
        <x:f>IFERROR((C121*F121)/(D121*E121),"")</x:f>
        <x:v>1.2222222222222223</x:v>
      </x:c>
      <x:c r="N121" s="7" t="n">
        <x:f>IFERROR(EXP(LN(M121)-1.96*SQRT(1/C121+1/D121+1/E121+1/F121)),"")</x:f>
        <x:v>0.4010543270103579</x:v>
      </x:c>
      <x:c r="O121" s="7" t="n">
        <x:f>IFERROR(EXP(LN(M121)+1.96*SQRT(1/C121+1/D121+1/E121+1/F121)),"")</x:f>
        <x:v>3.7247501395371976</x:v>
      </x:c>
      <x:c r="P121" s="8" t="n">
        <x:v>0.781174982617682</x:v>
      </x:c>
      <x:c r="Q121" s="8" t="n">
        <x:v>0.8977588079187233</x:v>
      </x:c>
      <x:c r="R121" s="9" t="str">
        <x:v>통계적 후보이며 임상적 검토 필요.</x:v>
      </x:c>
      <x:c r="S121" t="str">
        <x:v>탐색</x:v>
      </x:c>
    </x:row>
    <x:row r="122" ht="36" customHeight="1">
      <x:c r="A122" t="str">
        <x:v>Medial Meniscus</x:v>
      </x:c>
      <x:c r="B122" t="str">
        <x:v>PF OA</x:v>
      </x:c>
      <x:c r="C122" t="n">
        <x:v>10</x:v>
      </x:c>
      <x:c r="D122" t="n">
        <x:v>16</x:v>
      </x:c>
      <x:c r="E122" t="n">
        <x:v>11</x:v>
      </x:c>
      <x:c r="F122" t="n">
        <x:v>21</x:v>
      </x:c>
      <x:c r="G122" t="n">
        <x:f>C122+D122</x:f>
        <x:v>26</x:v>
      </x:c>
      <x:c r="H122" s="5" t="n">
        <x:f>IFERROR(C122/G122,"")</x:f>
        <x:v>0.38461538461538464</x:v>
      </x:c>
      <x:c r="I122" s="6" t="n">
        <x:f>E122+F122</x:f>
        <x:v>32</x:v>
      </x:c>
      <x:c r="J122" s="5" t="n">
        <x:f>IFERROR(E122/I122,"")</x:f>
        <x:v>0.34375</x:v>
      </x:c>
      <x:c r="K122" s="5" t="n">
        <x:f>H122-J122</x:f>
        <x:v>0.04086538461538464</x:v>
      </x:c>
      <x:c r="L122" s="7" t="n">
        <x:f>IFERROR(H122/J122,"")</x:f>
        <x:v>1.118881118881119</x:v>
      </x:c>
      <x:c r="M122" s="7" t="n">
        <x:f>IFERROR((C122*F122)/(D122*E122),"")</x:f>
        <x:v>1.1931818181818181</x:v>
      </x:c>
      <x:c r="N122" s="7" t="n">
        <x:f>IFERROR(EXP(LN(M122)-1.96*SQRT(1/C122+1/D122+1/E122+1/F122)),"")</x:f>
        <x:v>0.40707791405006477</x:v>
      </x:c>
      <x:c r="O122" s="7" t="n">
        <x:f>IFERROR(EXP(LN(M122)+1.96*SQRT(1/C122+1/D122+1/E122+1/F122)),"")</x:f>
        <x:v>3.4973227534633007</x:v>
      </x:c>
      <x:c r="P122" s="8" t="n">
        <x:v>0.7889395584740295</x:v>
      </x:c>
      <x:c r="Q122" s="8" t="n">
        <x:v>0.8977588079187233</x:v>
      </x:c>
      <x:c r="R122" s="9" t="str">
        <x:v>통계적 후보이며 임상적 검토 필요.</x:v>
      </x:c>
      <x:c r="S122" t="str">
        <x:v>탐색</x:v>
      </x:c>
    </x:row>
    <x:row r="123" ht="36" customHeight="1">
      <x:c r="A123" t="str">
        <x:v>Contusion</x:v>
      </x:c>
      <x:c r="B123" t="str">
        <x:v>Medial Meniscus</x:v>
      </x:c>
      <x:c r="C123" t="n">
        <x:v>8</x:v>
      </x:c>
      <x:c r="D123" t="n">
        <x:v>11</x:v>
      </x:c>
      <x:c r="E123" t="n">
        <x:v>18</x:v>
      </x:c>
      <x:c r="F123" t="n">
        <x:v>21</x:v>
      </x:c>
      <x:c r="G123" t="n">
        <x:f>C123+D123</x:f>
        <x:v>19</x:v>
      </x:c>
      <x:c r="H123" s="5" t="n">
        <x:f>IFERROR(C123/G123,"")</x:f>
        <x:v>0.42105263157894735</x:v>
      </x:c>
      <x:c r="I123" s="6" t="n">
        <x:f>E123+F123</x:f>
        <x:v>39</x:v>
      </x:c>
      <x:c r="J123" s="5" t="n">
        <x:f>IFERROR(E123/I123,"")</x:f>
        <x:v>0.46153846153846156</x:v>
      </x:c>
      <x:c r="K123" s="5" t="n">
        <x:f>H123-J123</x:f>
        <x:v>-0.04048582995951422</x:v>
      </x:c>
      <x:c r="L123" s="7" t="n">
        <x:f>IFERROR(H123/J123,"")</x:f>
        <x:v>0.9122807017543859</x:v>
      </x:c>
      <x:c r="M123" s="7" t="n">
        <x:f>IFERROR((C123*F123)/(D123*E123),"")</x:f>
        <x:v>0.8484848484848485</x:v>
      </x:c>
      <x:c r="N123" s="7" t="n">
        <x:f>IFERROR(EXP(LN(M123)-1.96*SQRT(1/C123+1/D123+1/E123+1/F123)),"")</x:f>
        <x:v>0.28042248804160597</x:v>
      </x:c>
      <x:c r="O123" s="7" t="n">
        <x:f>IFERROR(EXP(LN(M123)+1.96*SQRT(1/C123+1/D123+1/E123+1/F123)),"")</x:f>
        <x:v>2.5672924562367543</x:v>
      </x:c>
      <x:c r="P123" s="8" t="n">
        <x:v>0.9999999999999949</x:v>
      </x:c>
      <x:c r="Q123" s="8" t="n">
        <x:v>0.9999999999999974</x:v>
      </x:c>
      <x:c r="R123" s="9" t="str">
        <x:v>통계적 후보이며 임상적 검토 필요.</x:v>
      </x:c>
      <x:c r="S123" t="str">
        <x:v>탐색</x:v>
      </x:c>
    </x:row>
    <x:row r="124" ht="36" customHeight="1">
      <x:c r="A124" t="str">
        <x:v>ACL</x:v>
      </x:c>
      <x:c r="B124" t="str">
        <x:v>Lateral OA</x:v>
      </x:c>
      <x:c r="C124" t="n">
        <x:v>4</x:v>
      </x:c>
      <x:c r="D124" t="n">
        <x:v>20</x:v>
      </x:c>
      <x:c r="E124" t="n">
        <x:v>7</x:v>
      </x:c>
      <x:c r="F124" t="n">
        <x:v>27</x:v>
      </x:c>
      <x:c r="G124" t="n">
        <x:f>C124+D124</x:f>
        <x:v>24</x:v>
      </x:c>
      <x:c r="H124" s="5" t="n">
        <x:f>IFERROR(C124/G124,"")</x:f>
        <x:v>0.16666666666666666</x:v>
      </x:c>
      <x:c r="I124" s="6" t="n">
        <x:f>E124+F124</x:f>
        <x:v>34</x:v>
      </x:c>
      <x:c r="J124" s="5" t="n">
        <x:f>IFERROR(E124/I124,"")</x:f>
        <x:v>0.20588235294117646</x:v>
      </x:c>
      <x:c r="K124" s="5" t="n">
        <x:f>H124-J124</x:f>
        <x:v>-0.0392156862745098</x:v>
      </x:c>
      <x:c r="L124" s="7" t="n">
        <x:f>IFERROR(H124/J124,"")</x:f>
        <x:v>0.8095238095238095</x:v>
      </x:c>
      <x:c r="M124" s="7" t="n">
        <x:f>IFERROR((C124*F124)/(D124*E124),"")</x:f>
        <x:v>0.7714285714285715</x:v>
      </x:c>
      <x:c r="N124" s="7" t="n">
        <x:f>IFERROR(EXP(LN(M124)-1.96*SQRT(1/C124+1/D124+1/E124+1/F124)),"")</x:f>
        <x:v>0.1984358634787597</x:v>
      </x:c>
      <x:c r="O124" s="7" t="n">
        <x:f>IFERROR(EXP(LN(M124)+1.96*SQRT(1/C124+1/D124+1/E124+1/F124)),"")</x:f>
        <x:v>2.9989641508528297</x:v>
      </x:c>
      <x:c r="P124" s="8" t="n">
        <x:v>0.9999999999999934</x:v>
      </x:c>
      <x:c r="Q124" s="8" t="n">
        <x:v>0.9999999999999974</x:v>
      </x:c>
      <x:c r="R124" s="9" t="str">
        <x:v>통계적 후보이며 임상적 검토 필요.</x:v>
      </x:c>
      <x:c r="S124" t="str">
        <x:v>탐색</x:v>
      </x:c>
    </x:row>
    <x:row r="125" ht="36" customHeight="1">
      <x:c r="A125" t="str">
        <x:v>Lateral Meniscus</x:v>
      </x:c>
      <x:c r="B125" t="str">
        <x:v>ACL</x:v>
      </x:c>
      <x:c r="C125" t="n">
        <x:v>9</x:v>
      </x:c>
      <x:c r="D125" t="n">
        <x:v>14</x:v>
      </x:c>
      <x:c r="E125" t="n">
        <x:v>15</x:v>
      </x:c>
      <x:c r="F125" t="n">
        <x:v>20</x:v>
      </x:c>
      <x:c r="G125" t="n">
        <x:f>C125+D125</x:f>
        <x:v>23</x:v>
      </x:c>
      <x:c r="H125" s="5" t="n">
        <x:f>IFERROR(C125/G125,"")</x:f>
        <x:v>0.391304347826087</x:v>
      </x:c>
      <x:c r="I125" s="6" t="n">
        <x:f>E125+F125</x:f>
        <x:v>35</x:v>
      </x:c>
      <x:c r="J125" s="5" t="n">
        <x:f>IFERROR(E125/I125,"")</x:f>
        <x:v>0.42857142857142855</x:v>
      </x:c>
      <x:c r="K125" s="5" t="n">
        <x:f>H125-J125</x:f>
        <x:v>-0.037267080745341574</x:v>
      </x:c>
      <x:c r="L125" s="7" t="n">
        <x:f>IFERROR(H125/J125,"")</x:f>
        <x:v>0.9130434782608696</x:v>
      </x:c>
      <x:c r="M125" s="7" t="n">
        <x:f>IFERROR((C125*F125)/(D125*E125),"")</x:f>
        <x:v>0.8571428571428571</x:v>
      </x:c>
      <x:c r="N125" s="7" t="n">
        <x:f>IFERROR(EXP(LN(M125)-1.96*SQRT(1/C125+1/D125+1/E125+1/F125)),"")</x:f>
        <x:v>0.2933860587240804</x:v>
      </x:c>
      <x:c r="O125" s="7" t="n">
        <x:f>IFERROR(EXP(LN(M125)+1.96*SQRT(1/C125+1/D125+1/E125+1/F125)),"")</x:f>
        <x:v>2.5041881020051293</x:v>
      </x:c>
      <x:c r="P125" s="8" t="n">
        <x:v>0.9999999999999912</x:v>
      </x:c>
      <x:c r="Q125" s="8" t="n">
        <x:v>0.9999999999999974</x:v>
      </x:c>
      <x:c r="R125" s="9" t="str">
        <x:v>통계적 후보이며 임상적 검토 필요.</x:v>
      </x:c>
      <x:c r="S125" t="str">
        <x:v>탐색</x:v>
      </x:c>
    </x:row>
    <x:row r="126" ht="36" customHeight="1">
      <x:c r="A126" t="str">
        <x:v>ACL</x:v>
      </x:c>
      <x:c r="B126" t="str">
        <x:v>Lateral Meniscus</x:v>
      </x:c>
      <x:c r="C126" t="n">
        <x:v>9</x:v>
      </x:c>
      <x:c r="D126" t="n">
        <x:v>15</x:v>
      </x:c>
      <x:c r="E126" t="n">
        <x:v>14</x:v>
      </x:c>
      <x:c r="F126" t="n">
        <x:v>20</x:v>
      </x:c>
      <x:c r="G126" t="n">
        <x:f>C126+D126</x:f>
        <x:v>24</x:v>
      </x:c>
      <x:c r="H126" s="5" t="n">
        <x:f>IFERROR(C126/G126,"")</x:f>
        <x:v>0.375</x:v>
      </x:c>
      <x:c r="I126" s="6" t="n">
        <x:f>E126+F126</x:f>
        <x:v>34</x:v>
      </x:c>
      <x:c r="J126" s="5" t="n">
        <x:f>IFERROR(E126/I126,"")</x:f>
        <x:v>0.4117647058823529</x:v>
      </x:c>
      <x:c r="K126" s="5" t="n">
        <x:f>H126-J126</x:f>
        <x:v>-0.03676470588235292</x:v>
      </x:c>
      <x:c r="L126" s="7" t="n">
        <x:f>IFERROR(H126/J126,"")</x:f>
        <x:v>0.9107142857142858</x:v>
      </x:c>
      <x:c r="M126" s="7" t="n">
        <x:f>IFERROR((C126*F126)/(D126*E126),"")</x:f>
        <x:v>0.8571428571428571</x:v>
      </x:c>
      <x:c r="N126" s="7" t="n">
        <x:f>IFERROR(EXP(LN(M126)-1.96*SQRT(1/C126+1/D126+1/E126+1/F126)),"")</x:f>
        <x:v>0.2933860587240804</x:v>
      </x:c>
      <x:c r="O126" s="7" t="n">
        <x:f>IFERROR(EXP(LN(M126)+1.96*SQRT(1/C126+1/D126+1/E126+1/F126)),"")</x:f>
        <x:v>2.5041881020051293</x:v>
      </x:c>
      <x:c r="P126" s="8" t="n">
        <x:v>0.9999999999999912</x:v>
      </x:c>
      <x:c r="Q126" s="8" t="n">
        <x:v>0.9999999999999974</x:v>
      </x:c>
      <x:c r="R126" s="9" t="str">
        <x:v>통계적 후보이며 임상적 검토 필요.</x:v>
      </x:c>
      <x:c r="S126" t="str">
        <x:v>탐색</x:v>
      </x:c>
    </x:row>
    <x:row r="127" ht="36" customHeight="1">
      <x:c r="A127" t="str">
        <x:v>Medial Meniscus</x:v>
      </x:c>
      <x:c r="B127" t="str">
        <x:v>Contusion</x:v>
      </x:c>
      <x:c r="C127" t="n">
        <x:v>8</x:v>
      </x:c>
      <x:c r="D127" t="n">
        <x:v>18</x:v>
      </x:c>
      <x:c r="E127" t="n">
        <x:v>11</x:v>
      </x:c>
      <x:c r="F127" t="n">
        <x:v>21</x:v>
      </x:c>
      <x:c r="G127" t="n">
        <x:f>C127+D127</x:f>
        <x:v>26</x:v>
      </x:c>
      <x:c r="H127" s="5" t="n">
        <x:f>IFERROR(C127/G127,"")</x:f>
        <x:v>0.3076923076923077</x:v>
      </x:c>
      <x:c r="I127" s="6" t="n">
        <x:f>E127+F127</x:f>
        <x:v>32</x:v>
      </x:c>
      <x:c r="J127" s="5" t="n">
        <x:f>IFERROR(E127/I127,"")</x:f>
        <x:v>0.34375</x:v>
      </x:c>
      <x:c r="K127" s="5" t="n">
        <x:f>H127-J127</x:f>
        <x:v>-0.03605769230769229</x:v>
      </x:c>
      <x:c r="L127" s="7" t="n">
        <x:f>IFERROR(H127/J127,"")</x:f>
        <x:v>0.8951048951048951</x:v>
      </x:c>
      <x:c r="M127" s="7" t="n">
        <x:f>IFERROR((C127*F127)/(D127*E127),"")</x:f>
        <x:v>0.8484848484848485</x:v>
      </x:c>
      <x:c r="N127" s="7" t="n">
        <x:f>IFERROR(EXP(LN(M127)-1.96*SQRT(1/C127+1/D127+1/E127+1/F127)),"")</x:f>
        <x:v>0.28042248804160597</x:v>
      </x:c>
      <x:c r="O127" s="7" t="n">
        <x:f>IFERROR(EXP(LN(M127)+1.96*SQRT(1/C127+1/D127+1/E127+1/F127)),"")</x:f>
        <x:v>2.5672924562367543</x:v>
      </x:c>
      <x:c r="P127" s="8" t="n">
        <x:v>0.9999999999999949</x:v>
      </x:c>
      <x:c r="Q127" s="8" t="n">
        <x:v>0.9999999999999974</x:v>
      </x:c>
      <x:c r="R127" s="9" t="str">
        <x:v>통계적 후보이며 임상적 검토 필요.</x:v>
      </x:c>
      <x:c r="S127" t="str">
        <x:v>탐색</x:v>
      </x:c>
    </x:row>
    <x:row r="128" ht="36" customHeight="1">
      <x:c r="A128" t="str">
        <x:v>Lateral Meniscus</x:v>
      </x:c>
      <x:c r="B128" t="str">
        <x:v>MCL</x:v>
      </x:c>
      <x:c r="C128" t="n">
        <x:v>4</x:v>
      </x:c>
      <x:c r="D128" t="n">
        <x:v>19</x:v>
      </x:c>
      <x:c r="E128" t="n">
        <x:v>5</x:v>
      </x:c>
      <x:c r="F128" t="n">
        <x:v>30</x:v>
      </x:c>
      <x:c r="G128" t="n">
        <x:f>C128+D128</x:f>
        <x:v>23</x:v>
      </x:c>
      <x:c r="H128" s="5" t="n">
        <x:f>IFERROR(C128/G128,"")</x:f>
        <x:v>0.17391304347826086</x:v>
      </x:c>
      <x:c r="I128" s="6" t="n">
        <x:f>E128+F128</x:f>
        <x:v>35</x:v>
      </x:c>
      <x:c r="J128" s="5" t="n">
        <x:f>IFERROR(E128/I128,"")</x:f>
        <x:v>0.14285714285714285</x:v>
      </x:c>
      <x:c r="K128" s="5" t="n">
        <x:f>H128-J128</x:f>
        <x:v>0.031055900621118016</x:v>
      </x:c>
      <x:c r="L128" s="7" t="n">
        <x:f>IFERROR(H128/J128,"")</x:f>
        <x:v>1.2173913043478262</x:v>
      </x:c>
      <x:c r="M128" s="7" t="n">
        <x:f>IFERROR((C128*F128)/(D128*E128),"")</x:f>
        <x:v>1.263157894736842</x:v>
      </x:c>
      <x:c r="N128" s="7" t="n">
        <x:f>IFERROR(EXP(LN(M128)-1.96*SQRT(1/C128+1/D128+1/E128+1/F128)),"")</x:f>
        <x:v>0.3008047819867703</x:v>
      </x:c>
      <x:c r="O128" s="7" t="n">
        <x:f>IFERROR(EXP(LN(M128)+1.96*SQRT(1/C128+1/D128+1/E128+1/F128)),"")</x:f>
        <x:v>5.304330125663313</x:v>
      </x:c>
      <x:c r="P128" s="8" t="n">
        <x:v>0.9999999999999934</x:v>
      </x:c>
      <x:c r="Q128" s="8" t="n">
        <x:v>0.9999999999999974</x:v>
      </x:c>
      <x:c r="R128" s="9" t="str">
        <x:v>통계적 후보이며 임상적 검토 필요.</x:v>
      </x:c>
      <x:c r="S128" t="str">
        <x:v>탐색</x:v>
      </x:c>
    </x:row>
    <x:row r="129" ht="36" customHeight="1">
      <x:c r="A129" t="str">
        <x:v>Effusion</x:v>
      </x:c>
      <x:c r="B129" t="str">
        <x:v>MCL</x:v>
      </x:c>
      <x:c r="C129" t="n">
        <x:v>5</x:v>
      </x:c>
      <x:c r="D129" t="n">
        <x:v>30</x:v>
      </x:c>
      <x:c r="E129" t="n">
        <x:v>4</x:v>
      </x:c>
      <x:c r="F129" t="n">
        <x:v>19</x:v>
      </x:c>
      <x:c r="G129" t="n">
        <x:f>C129+D129</x:f>
        <x:v>35</x:v>
      </x:c>
      <x:c r="H129" s="5" t="n">
        <x:f>IFERROR(C129/G129,"")</x:f>
        <x:v>0.14285714285714285</x:v>
      </x:c>
      <x:c r="I129" s="6" t="n">
        <x:f>E129+F129</x:f>
        <x:v>23</x:v>
      </x:c>
      <x:c r="J129" s="5" t="n">
        <x:f>IFERROR(E129/I129,"")</x:f>
        <x:v>0.17391304347826086</x:v>
      </x:c>
      <x:c r="K129" s="5" t="n">
        <x:f>H129-J129</x:f>
        <x:v>-0.031055900621118016</x:v>
      </x:c>
      <x:c r="L129" s="7" t="n">
        <x:f>IFERROR(H129/J129,"")</x:f>
        <x:v>0.8214285714285714</x:v>
      </x:c>
      <x:c r="M129" s="7" t="n">
        <x:f>IFERROR((C129*F129)/(D129*E129),"")</x:f>
        <x:v>0.7916666666666666</x:v>
      </x:c>
      <x:c r="N129" s="7" t="n">
        <x:f>IFERROR(EXP(LN(M129)-1.96*SQRT(1/C129+1/D129+1/E129+1/F129)),"")</x:f>
        <x:v>0.18852521926601404</x:v>
      </x:c>
      <x:c r="O129" s="7" t="n">
        <x:f>IFERROR(EXP(LN(M129)+1.96*SQRT(1/C129+1/D129+1/E129+1/F129)),"")</x:f>
        <x:v>3.324415235007736</x:v>
      </x:c>
      <x:c r="P129" s="8" t="n">
        <x:v>0.9999999999999936</x:v>
      </x:c>
      <x:c r="Q129" s="8" t="n">
        <x:v>0.9999999999999974</x:v>
      </x:c>
      <x:c r="R129" s="9" t="str">
        <x:v>통계적 후보이며 임상적 검토 필요.</x:v>
      </x:c>
      <x:c r="S129" t="str">
        <x:v>탐색</x:v>
      </x:c>
    </x:row>
    <x:row r="130" ht="36" customHeight="1">
      <x:c r="A130" t="str">
        <x:v>Fracture</x:v>
      </x:c>
      <x:c r="B130" t="str">
        <x:v>Lateral Meniscus</x:v>
      </x:c>
      <x:c r="C130" t="n">
        <x:v>7</x:v>
      </x:c>
      <x:c r="D130" t="n">
        <x:v>11</x:v>
      </x:c>
      <x:c r="E130" t="n">
        <x:v>16</x:v>
      </x:c>
      <x:c r="F130" t="n">
        <x:v>24</x:v>
      </x:c>
      <x:c r="G130" t="n">
        <x:f>C130+D130</x:f>
        <x:v>18</x:v>
      </x:c>
      <x:c r="H130" s="5" t="n">
        <x:f>IFERROR(C130/G130,"")</x:f>
        <x:v>0.3888888888888889</x:v>
      </x:c>
      <x:c r="I130" s="6" t="n">
        <x:f>E130+F130</x:f>
        <x:v>40</x:v>
      </x:c>
      <x:c r="J130" s="5" t="n">
        <x:f>IFERROR(E130/I130,"")</x:f>
        <x:v>0.4</x:v>
      </x:c>
      <x:c r="K130" s="5" t="n">
        <x:f>H130-J130</x:f>
        <x:v>-0.011111111111111127</x:v>
      </x:c>
      <x:c r="L130" s="7" t="n">
        <x:f>IFERROR(H130/J130,"")</x:f>
        <x:v>0.9722222222222222</x:v>
      </x:c>
      <x:c r="M130" s="7" t="n">
        <x:f>IFERROR((C130*F130)/(D130*E130),"")</x:f>
        <x:v>0.9545454545454546</x:v>
      </x:c>
      <x:c r="N130" s="7" t="n">
        <x:f>IFERROR(EXP(LN(M130)-1.96*SQRT(1/C130+1/D130+1/E130+1/F130)),"")</x:f>
        <x:v>0.3054689491786169</x:v>
      </x:c>
      <x:c r="O130" s="7" t="n">
        <x:f>IFERROR(EXP(LN(M130)+1.96*SQRT(1/C130+1/D130+1/E130+1/F130)),"")</x:f>
        <x:v>2.982813890719241</x:v>
      </x:c>
      <x:c r="P130" s="8" t="n">
        <x:v>0.9999999999999943</x:v>
      </x:c>
      <x:c r="Q130" s="8" t="n">
        <x:v>0.9999999999999974</x:v>
      </x:c>
      <x:c r="R130" s="9" t="str">
        <x:v>통계적 후보이며 임상적 검토 필요.</x:v>
      </x:c>
      <x:c r="S130" t="str">
        <x:v>탐색</x:v>
      </x:c>
    </x:row>
    <x:row r="131" ht="36" customHeight="1">
      <x:c r="A131" t="str">
        <x:v>Lateral Meniscus</x:v>
      </x:c>
      <x:c r="B131" t="str">
        <x:v>Fracture</x:v>
      </x:c>
      <x:c r="C131" t="n">
        <x:v>7</x:v>
      </x:c>
      <x:c r="D131" t="n">
        <x:v>16</x:v>
      </x:c>
      <x:c r="E131" t="n">
        <x:v>11</x:v>
      </x:c>
      <x:c r="F131" t="n">
        <x:v>24</x:v>
      </x:c>
      <x:c r="G131" t="n">
        <x:f>C131+D131</x:f>
        <x:v>23</x:v>
      </x:c>
      <x:c r="H131" s="5" t="n">
        <x:f>IFERROR(C131/G131,"")</x:f>
        <x:v>0.30434782608695654</x:v>
      </x:c>
      <x:c r="I131" s="6" t="n">
        <x:f>E131+F131</x:f>
        <x:v>35</x:v>
      </x:c>
      <x:c r="J131" s="5" t="n">
        <x:f>IFERROR(E131/I131,"")</x:f>
        <x:v>0.3142857142857143</x:v>
      </x:c>
      <x:c r="K131" s="5" t="n">
        <x:f>H131-J131</x:f>
        <x:v>-0.009937888198757738</x:v>
      </x:c>
      <x:c r="L131" s="7" t="n">
        <x:f>IFERROR(H131/J131,"")</x:f>
        <x:v>0.9683794466403163</x:v>
      </x:c>
      <x:c r="M131" s="7" t="n">
        <x:f>IFERROR((C131*F131)/(D131*E131),"")</x:f>
        <x:v>0.9545454545454546</x:v>
      </x:c>
      <x:c r="N131" s="7" t="n">
        <x:f>IFERROR(EXP(LN(M131)-1.96*SQRT(1/C131+1/D131+1/E131+1/F131)),"")</x:f>
        <x:v>0.3054689491786169</x:v>
      </x:c>
      <x:c r="O131" s="7" t="n">
        <x:f>IFERROR(EXP(LN(M131)+1.96*SQRT(1/C131+1/D131+1/E131+1/F131)),"")</x:f>
        <x:v>2.982813890719241</x:v>
      </x:c>
      <x:c r="P131" s="8" t="n">
        <x:v>0.9999999999999943</x:v>
      </x:c>
      <x:c r="Q131" s="8" t="n">
        <x:v>0.9999999999999974</x:v>
      </x:c>
      <x:c r="R131" s="9" t="str">
        <x:v>통계적 후보이며 임상적 검토 필요.</x:v>
      </x:c>
      <x:c r="S131" t="str">
        <x:v>탐색</x:v>
      </x:c>
    </x:row>
    <x:row r="132" ht="36" customHeight="1">
      <x:c r="A132" t="str">
        <x:v>Lateral OA</x:v>
      </x:c>
      <x:c r="B132" t="str">
        <x:v>Medial Meniscus</x:v>
      </x:c>
      <x:c r="C132" t="n">
        <x:v>5</x:v>
      </x:c>
      <x:c r="D132" t="n">
        <x:v>6</x:v>
      </x:c>
      <x:c r="E132" t="n">
        <x:v>21</x:v>
      </x:c>
      <x:c r="F132" t="n">
        <x:v>26</x:v>
      </x:c>
      <x:c r="G132" t="n">
        <x:f>C132+D132</x:f>
        <x:v>11</x:v>
      </x:c>
      <x:c r="H132" s="5" t="n">
        <x:f>IFERROR(C132/G132,"")</x:f>
        <x:v>0.45454545454545453</x:v>
      </x:c>
      <x:c r="I132" s="6" t="n">
        <x:f>E132+F132</x:f>
        <x:v>47</x:v>
      </x:c>
      <x:c r="J132" s="5" t="n">
        <x:f>IFERROR(E132/I132,"")</x:f>
        <x:v>0.44680851063829785</x:v>
      </x:c>
      <x:c r="K132" s="5" t="n">
        <x:f>H132-J132</x:f>
        <x:v>0.007736943907156679</x:v>
      </x:c>
      <x:c r="L132" s="7" t="n">
        <x:f>IFERROR(H132/J132,"")</x:f>
        <x:v>1.0173160173160174</x:v>
      </x:c>
      <x:c r="M132" s="7" t="n">
        <x:f>IFERROR((C132*F132)/(D132*E132),"")</x:f>
        <x:v>1.0317460317460319</x:v>
      </x:c>
      <x:c r="N132" s="7" t="n">
        <x:f>IFERROR(EXP(LN(M132)-1.96*SQRT(1/C132+1/D132+1/E132+1/F132)),"")</x:f>
        <x:v>0.27594249796019754</x:v>
      </x:c>
      <x:c r="O132" s="7" t="n">
        <x:f>IFERROR(EXP(LN(M132)+1.96*SQRT(1/C132+1/D132+1/E132+1/F132)),"")</x:f>
        <x:v>3.857687314902937</x:v>
      </x:c>
      <x:c r="P132" s="8" t="n">
        <x:v>0.9999999999999974</x:v>
      </x:c>
      <x:c r="Q132" s="8" t="n">
        <x:v>0.9999999999999974</x:v>
      </x:c>
      <x:c r="R132" s="9" t="str">
        <x:v>통계적 후보이며 임상적 검토 필요.</x:v>
      </x:c>
      <x:c r="S132" t="str">
        <x:v>탐색</x:v>
      </x:c>
    </x:row>
    <x:row r="133" ht="36" customHeight="1">
      <x:c r="A133" t="str">
        <x:v>Medial Meniscus</x:v>
      </x:c>
      <x:c r="B133" t="str">
        <x:v>Lateral OA</x:v>
      </x:c>
      <x:c r="C133" t="n">
        <x:v>5</x:v>
      </x:c>
      <x:c r="D133" t="n">
        <x:v>21</x:v>
      </x:c>
      <x:c r="E133" t="n">
        <x:v>6</x:v>
      </x:c>
      <x:c r="F133" t="n">
        <x:v>26</x:v>
      </x:c>
      <x:c r="G133" t="n">
        <x:f>C133+D133</x:f>
        <x:v>26</x:v>
      </x:c>
      <x:c r="H133" s="5" t="n">
        <x:f>IFERROR(C133/G133,"")</x:f>
        <x:v>0.19230769230769232</x:v>
      </x:c>
      <x:c r="I133" s="6" t="n">
        <x:f>E133+F133</x:f>
        <x:v>32</x:v>
      </x:c>
      <x:c r="J133" s="5" t="n">
        <x:f>IFERROR(E133/I133,"")</x:f>
        <x:v>0.1875</x:v>
      </x:c>
      <x:c r="K133" s="5" t="n">
        <x:f>H133-J133</x:f>
        <x:v>0.004807692307692318</x:v>
      </x:c>
      <x:c r="L133" s="7" t="n">
        <x:f>IFERROR(H133/J133,"")</x:f>
        <x:v>1.0256410256410258</x:v>
      </x:c>
      <x:c r="M133" s="7" t="n">
        <x:f>IFERROR((C133*F133)/(D133*E133),"")</x:f>
        <x:v>1.0317460317460319</x:v>
      </x:c>
      <x:c r="N133" s="7" t="n">
        <x:f>IFERROR(EXP(LN(M133)-1.96*SQRT(1/C133+1/D133+1/E133+1/F133)),"")</x:f>
        <x:v>0.2759424979601976</x:v>
      </x:c>
      <x:c r="O133" s="7" t="n">
        <x:f>IFERROR(EXP(LN(M133)+1.96*SQRT(1/C133+1/D133+1/E133+1/F133)),"")</x:f>
        <x:v>3.857687314902936</x:v>
      </x:c>
      <x:c r="P133" s="8" t="n">
        <x:v>0.9999999999999974</x:v>
      </x:c>
      <x:c r="Q133" s="8" t="n">
        <x:v>0.9999999999999974</x:v>
      </x:c>
      <x:c r="R133" s="9" t="str">
        <x:v>통계적 후보이며 임상적 검토 필요.</x:v>
      </x:c>
      <x:c r="S133" t="str">
        <x:v>탐색</x:v>
      </x:c>
    </x:row>
  </x:sheetData>
  <x:conditionalFormatting sqref="K2:K133">
    <x:cfRule type="colorScale" priority="1">
      <x:colorScale>
        <x:cfvo type="min"/>
        <x:cfvo type="num" val="0"/>
        <x:cfvo type="max"/>
        <x:color rgb="FFB42318"/>
        <x:color rgb="FFFFFFFF"/>
        <x:color rgb="FF2E7D32"/>
      </x:colorScale>
    </x:cfRule>
  </x:conditionalFormatting>
  <x:conditionalFormatting sqref="Q2:Q133">
    <x:cfRule type="cellIs" dxfId="0" priority="2" operator="lessThanOrEqual">
      <x:formula>0.05</x:formula>
    </x:cfRule>
  </x:conditionalFormatting>
  <x:conditionalFormatting sqref="S2:S133">
    <x:cfRule type="containsText" dxfId="1" priority="3" operator="containsText" text="우선 검토"/>
  </x:conditionalFormatting>
  <x:pageMargins left="0.7" right="0.7" top="0.75" bottom="0.75" header="0.3" footer="0.3"/>
  <x:tableParts count="1">
    <x:tablePart xmlns:r="http://schemas.openxmlformats.org/officeDocument/2006/relationships" r:id="R08ae2526ee164a5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8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4" t="str">
        <x:v>StudyInstanceUID</x:v>
      </x:c>
      <x:c r="B1" s="4" t="str">
        <x:v>Report</x:v>
      </x:c>
      <x:c r="C1" s="4" t="str">
        <x:v>ACL</x:v>
      </x:c>
      <x:c r="D1" s="4" t="str">
        <x:v>MCL</x:v>
      </x:c>
      <x:c r="E1" s="4" t="str">
        <x:v>Medial Meniscus</x:v>
      </x:c>
      <x:c r="F1" s="4" t="str">
        <x:v>Lateral Meniscus</x:v>
      </x:c>
      <x:c r="G1" s="4" t="str">
        <x:v>Medial OA</x:v>
      </x:c>
      <x:c r="H1" s="4" t="str">
        <x:v>Lateral OA</x:v>
      </x:c>
      <x:c r="I1" s="4" t="str">
        <x:v>PF OA</x:v>
      </x:c>
      <x:c r="J1" s="4" t="str">
        <x:v>Effusion</x:v>
      </x:c>
      <x:c r="K1" s="4" t="str">
        <x:v>Synovitis</x:v>
      </x:c>
      <x:c r="L1" s="4" t="str">
        <x:v>Baker's</x:v>
      </x:c>
      <x:c r="M1" s="4" t="str">
        <x:v>Contusion</x:v>
      </x:c>
      <x:c r="N1" s="4" t="str">
        <x:v>Fracture</x:v>
      </x:c>
    </x:row>
    <x:row r="2" ht="110" customHeight="1">
      <x:c r="A2" s="142" t="str">
        <x:v>1.2.826.0.1.3680043.8.498.10095687747295410396510538520594649149</x:v>
      </x:c>
      <x:c r="B2" s="143" t="str">
        <x:v>Antecedentes Clínicos:
Esguince rodilla. [DATE].
Hallazgos:
No hay alteraciones de señal significativas de la médula ósea.
Ligamentos cruzados y colaterales dentro de límites normales.
Amputación marginal del cuerpo del menisco lateral. Menisco medial de morfología y señal
conservada, sin signos de rotura.
Cartílagos de los compartimentos femorotibiales sin alteraciones.
Fina úlcera condral focal de espesor total del aspecto inferior de la vertiente medial de la tróclea
femoral con mínimos cambios óseos secundarios. Fenómenos condrales reparativos de la región
central de la simple femoral. Cartílago rotuliano sin alteraciones.
Leve derrame articular. No hay quistes poplíteos patológicos.
Aumento de señal de la inserción distal del tendón cuadricipital y de la inserción proximal del
tendón rotuliano, sin signos de rotura.
No hay alteraciones de señal de la grasa de Hoffa.
Impresión:
Amputación marginal del cuerpo del menisco lateral.
Condropatía focal grado 4 del aspecto inferior de la vertiente medial de la tróclea femoral .
Fenómenos condrales reparativos de la región central de la tróclea femoral.
Leve derrame articular.
Leve tendinosis cuadricipital distal y rotuliana proximal.</x:v>
      </x:c>
      <x:c r="C2" s="144" t="str">
        <x:v>0</x:v>
      </x:c>
      <x:c r="D2" s="144" t="str">
        <x:v>0</x:v>
      </x:c>
      <x:c r="E2" s="144" t="str">
        <x:v>0</x:v>
      </x:c>
      <x:c r="F2" s="144" t="str">
        <x:v>0</x:v>
      </x:c>
      <x:c r="G2" s="144" t="str">
        <x:v>0</x:v>
      </x:c>
      <x:c r="H2" s="144" t="str">
        <x:v>0</x:v>
      </x:c>
      <x:c r="I2" s="144" t="str">
        <x:v>1</x:v>
      </x:c>
      <x:c r="J2" s="144" t="str">
        <x:v>1</x:v>
      </x:c>
      <x:c r="K2" s="144" t="str">
        <x:v>0</x:v>
      </x:c>
      <x:c r="L2" s="144" t="str">
        <x:v>0</x:v>
      </x:c>
      <x:c r="M2" s="144" t="str">
        <x:v>0</x:v>
      </x:c>
      <x:c r="N2" s="144" t="str">
        <x:v>0</x:v>
      </x:c>
    </x:row>
    <x:row r="3" ht="110" customHeight="1">
      <x:c r="A3" s="142" t="str">
        <x:v>1.2.826.0.1.3680043.8.498.10170898615867673028696505248839028269</x:v>
      </x:c>
      <x:c r="B3" s="143" t="str">
        <x:v> The study reveals normal knee joint alignment.   No fracture is seen.  
   ACL is intact.   PCL is preserved.  
  The MCL is intact.    Medial meniscus is not torn.  
  The FCL, popliteus and biceps femoris tendons are preserved.       
   Horizontal tear at anterior horn of the lateral meniscus is noted.  
   Focal osteochondral defect at lateral patellar facet, about 8x12mm. with subchondral bone edema is detected.   Full thickness cartilage defect, 1.2x1.5cm. at lateral trochlea with subchondral bone edema is noted.   Small osteochondral body, about intact9xintact4cm. at anterior infrapatellar recess is noted.   
  The quadriceps and patellar tendons are preserved.   
   Moderate joint effusion, distended suprapatellar bursa with thickend synovial tissue are observed.  Horizontal tear at anterior horn of the lateral meniscus.  
     Osteochondral fracture at lateral patellar facet, about 8x12mm. with dislodge OCD fragment. 
     Full thickness cartilage defect, 1.2x1.5cm. at lateral trochlea with subchondral bone edema. 
      Small osteochondral body, about intact9xintact4cm. at anterior infrapatellar recess. 
      Chronic reactive synovitis, suprapatellar bursitis </x:v>
      </x:c>
      <x:c r="C3" s="144" t="str">
        <x:v>0</x:v>
      </x:c>
      <x:c r="D3" s="144" t="str">
        <x:v>0</x:v>
      </x:c>
      <x:c r="E3" s="144" t="str">
        <x:v>0</x:v>
      </x:c>
      <x:c r="F3" s="144" t="str">
        <x:v>1</x:v>
      </x:c>
      <x:c r="G3" s="144" t="str">
        <x:v>0</x:v>
      </x:c>
      <x:c r="H3" s="144" t="str">
        <x:v>0</x:v>
      </x:c>
      <x:c r="I3" s="144" t="str">
        <x:v>1</x:v>
      </x:c>
      <x:c r="J3" s="144" t="str">
        <x:v>0</x:v>
      </x:c>
      <x:c r="K3" s="144" t="str">
        <x:v>1</x:v>
      </x:c>
      <x:c r="L3" s="144" t="str">
        <x:v>0</x:v>
      </x:c>
      <x:c r="M3" s="144" t="str">
        <x:v>0</x:v>
      </x:c>
      <x:c r="N3" s="144" t="str">
        <x:v>0</x:v>
      </x:c>
    </x:row>
    <x:row r="4" ht="110" customHeight="1">
      <x:c r="A4" s="142" t="str">
        <x:v>1.2.826.0.1.3680043.8.498.10306159113324811538703788080836752052</x:v>
      </x:c>
      <x:c r="B4" s="143" t="str">
        <x:v>Exam Type: MRI KNEE RIGHT WO CONTRAST
Exam Date and Time: [DATE] [TIME]
Indication: 2 years of pain with walking up and down the stairs twisting and squatting.
Comparison: No relevant prior studies available for comparison.
TECHNIQUE:
MRI of the right knee was performed on a 1.5 Tesla system body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Small joint effusion. No intra-articular bodies. No Baker's cyst.
MEDIAL COMPARTMENT:
Medial meniscus: Extensive complete tearing of the body, posterior horn, and posterior root medial meniscus with severe extrusion.
Medial compartment cartilage: Full thickness cartilage loss along the medial femoral condyle and medial tibial plateau with subchondral cystic change and marrow edema.
LATERAL COMPARTMENT:
Lateral meniscus: Degenerative signal throughout the lateral meniscus without surfacing tear.
Lateral compartment cartilage: Mild cartilage heterogeneity and fissuring.
PATELLOFEMORAL COMPARTMENT:
Patellofemoral compartment cartilage: High-grade cartilage loss along the medial patellar facet. High grade cartilage loss at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Extensive complete tearing of the body, posterior horn, and posterior root medial meniscus with severe extrusion.
2.	Tricompartmental osteoarthritis worse in the medial compartment.</x:v>
      </x:c>
      <x:c r="C4" s="144" t="str">
        <x:v>0</x:v>
      </x:c>
      <x:c r="D4" s="144" t="str">
        <x:v>0</x:v>
      </x:c>
      <x:c r="E4" s="144" t="str">
        <x:v>1</x:v>
      </x:c>
      <x:c r="F4" s="144" t="str">
        <x:v>0</x:v>
      </x:c>
      <x:c r="G4" s="144" t="str">
        <x:v>1</x:v>
      </x:c>
      <x:c r="H4" s="144" t="str">
        <x:v>0</x:v>
      </x:c>
      <x:c r="I4" s="144" t="str">
        <x:v>1</x:v>
      </x:c>
      <x:c r="J4" s="144" t="str">
        <x:v>0</x:v>
      </x:c>
      <x:c r="K4" s="144" t="str">
        <x:v>1</x:v>
      </x:c>
      <x:c r="L4" s="144" t="str">
        <x:v>0</x:v>
      </x:c>
      <x:c r="M4" s="144" t="str">
        <x:v>0</x:v>
      </x:c>
      <x:c r="N4" s="144" t="str">
        <x:v>0</x:v>
      </x:c>
    </x:row>
    <x:row r="5" ht="110" customHeight="1">
      <x:c r="A5" s="142" t="str">
        <x:v>1.2.826.0.1.3680043.8.498.11287937729196958426538087439102017580</x:v>
      </x:c>
      <x:c r="B5" s="143" t="str">
        <x:v>MRI of left Knee with 
-3-Plane Loc R'T, Sag PD FS, AX T2 FS, Sag T2 FS, Sag T1, CORT2 FS
&gt; There is no abnormal intensity or articular surface disrupt in the medial meniscus, It appears to be normal.
&gt; There is no increased intensity in the ACL, MCL and LCL, it appears to be normal
&gt; Interstitial high intensity, irregular contour and laxity in the PCL, suspected complete tear
&gt; Synovial membrane thickening in the knee joint with fluid accumulation and hofa fat pad stranding, knee arthritis with hoffitis noted
&gt; Fluid accumulated in the suprapatella bursa with quadricep and prefemoral fat pad stranding, suprapatellar bursitis noted
&gt; Fluid accumulated in the posterior medial condyle region
&gt; Medial plica and suprapatellar plicae noted
&gt; Relatively enlarged caliber of the popliteal vein  with heterogenous hyperintensity (srs: 6, Img: 24-30) and prominenet superficial veines, the possiblity of deep vein thrombosis can't totally excluded.
Impression:
1. C/W PCL complete tear, grade 3 injury
2. Synovitis of left knee and massive joint effusion and suprapatellar bursitis; complex plicae.
3. Subcutaneous edema around left knee.
4. R/O deep vein thrombosis of left popliteal vein. Suggest correlation with clinical manifestation
Suggest correlation with clinical manifestation
</x:v>
      </x:c>
      <x:c r="C5" s="144" t="str">
        <x:v>0</x:v>
      </x:c>
      <x:c r="D5" s="144" t="str">
        <x:v>0</x:v>
      </x:c>
      <x:c r="E5" s="144" t="str">
        <x:v>0</x:v>
      </x:c>
      <x:c r="F5" s="144" t="str">
        <x:v>0</x:v>
      </x:c>
      <x:c r="G5" s="144" t="str">
        <x:v>0</x:v>
      </x:c>
      <x:c r="H5" s="144" t="str">
        <x:v>0</x:v>
      </x:c>
      <x:c r="I5" s="144" t="str">
        <x:v>0</x:v>
      </x:c>
      <x:c r="J5" s="144" t="str">
        <x:v>1</x:v>
      </x:c>
      <x:c r="K5" s="144" t="str">
        <x:v>0</x:v>
      </x:c>
      <x:c r="L5" s="144" t="str">
        <x:v>0</x:v>
      </x:c>
      <x:c r="M5" s="144" t="str">
        <x:v>0</x:v>
      </x:c>
      <x:c r="N5" s="144" t="str">
        <x:v>0</x:v>
      </x:c>
    </x:row>
    <x:row r="6" ht="110" customHeight="1">
      <x:c r="A6" s="142" t="str">
        <x:v>1.2.826.0.1.3680043.8.498.11382021393803389951964005983002209238</x:v>
      </x:c>
      <x:c r="B6" s="143" t="str">
        <x:v> In the medial compartment, there is longitudinal vertical tear at the body and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 medial and lateral collateral ligament complexes are intact. The extensor mechanism is normal.  
 No knee effusion is present. The surrounding musculature is normal. There is no fracture or bone contusion.   -- Longitudinal vertical tear at the body and posterior horn of the medial meniscus. 
 -- Complete tear of the anterior cruciate ligament, at mid substance. </x:v>
      </x:c>
      <x:c r="C6" s="144" t="str">
        <x:v>1</x:v>
      </x:c>
      <x:c r="D6" s="144" t="str">
        <x:v>0</x:v>
      </x:c>
      <x:c r="E6" s="144" t="str">
        <x:v>1</x:v>
      </x:c>
      <x:c r="F6" s="144" t="str">
        <x:v>0</x:v>
      </x:c>
      <x:c r="G6" s="144" t="str">
        <x:v>0</x:v>
      </x:c>
      <x:c r="H6" s="144" t="str">
        <x:v>0</x:v>
      </x:c>
      <x:c r="I6" s="144" t="str">
        <x:v>0</x:v>
      </x:c>
      <x:c r="J6" s="144" t="str">
        <x:v>0</x:v>
      </x:c>
      <x:c r="K6" s="144" t="str">
        <x:v>0</x:v>
      </x:c>
      <x:c r="L6" s="144" t="str">
        <x:v>0</x:v>
      </x:c>
      <x:c r="M6" s="144" t="str">
        <x:v>0</x:v>
      </x:c>
      <x:c r="N6" s="144" t="str">
        <x:v>0</x:v>
      </x:c>
    </x:row>
    <x:row r="7" ht="110" customHeight="1">
      <x:c r="A7" s="142" t="str">
        <x:v>1.2.826.0.1.3680043.8.498.11548045715264151632153040089882701935</x:v>
      </x:c>
      <x:c r="B7" s="143" t="str">
        <x:v> In the medial compartment, the meniscus is not torn and there is no focal chondrosis or chondral injury. 
 The lateral compartment, there is complex tear (main radial and longitudinal vertical component)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interstitial tear of the anterior cruciate ligament, at mid substance. The posterior cruciate ligament is intact. There is no tibial translation. 
 The medial collateral ligament complexes are intact. The posteromedial oblique ligament is intact.  
 There is grade II ligamentous sprain (partial tear) of  lateral collateral ligament. Partial tear of the intraarticular portion, popliteus tendon is present. The popliteofibular ligament is intact. The meniscopopliteal fascicles are intact.  
 The extensor mechanism is normal.  
 Some amount of right knee effusion with hemarthrosis is present. There is popliteus muscle contusion.  There is no fracture or bone contusion.   Complex tear (main radial and longitudinal vertical component) at the posterior horn of the lateral meniscus. 
  Interstitial tear of the anterior cruciate ligament, at mid substance.  
  Grade II ligamentous sprain (partial tear) of  lateral collateral ligament.  
  Partial tear of the intraarticular portion, popliteus tendon. 
  Some amount of right knee effusion with hemarthrosis. 
  Popliteus muscle contusion.</x:v>
      </x:c>
      <x:c r="C7" s="144" t="str">
        <x:v>0</x:v>
      </x:c>
      <x:c r="D7" s="144" t="str">
        <x:v>0</x:v>
      </x:c>
      <x:c r="E7" s="144" t="str">
        <x:v>0</x:v>
      </x:c>
      <x:c r="F7" s="144" t="str">
        <x:v>0</x:v>
      </x:c>
      <x:c r="G7" s="144" t="str">
        <x:v>0</x:v>
      </x:c>
      <x:c r="H7" s="144" t="str">
        <x:v>0</x:v>
      </x:c>
      <x:c r="I7" s="144" t="str">
        <x:v>0</x:v>
      </x:c>
      <x:c r="J7" s="144" t="str">
        <x:v>1</x:v>
      </x:c>
      <x:c r="K7" s="144" t="str">
        <x:v>1</x:v>
      </x:c>
      <x:c r="L7" s="144" t="str">
        <x:v>0</x:v>
      </x:c>
      <x:c r="M7" s="144" t="str">
        <x:v>1</x:v>
      </x:c>
      <x:c r="N7" s="144" t="str">
        <x:v>0</x:v>
      </x:c>
    </x:row>
    <x:row r="8" ht="110" customHeight="1">
      <x:c r="A8" s="142" t="str">
        <x:v>1.2.826.0.1.3680043.8.498.11557620559191469069130827959098335840</x:v>
      </x:c>
      <x:c r="B8" s="143" t="str">
        <x:v>Antecedentes Clínicos:
Rodilla traumática aguda.
Hallazgos:
Rotura espesor y ancho total de la unión del tercio medio del tercio proximal del LCA asociado a
discreto edema óseo del aspecto posterior de platillo tibial lateral. LCP y ligamentos colaterales sin
alteraciones significativas.
Aumento de señal central del cuerno posterior y cuerpo del menisco medial que no impresiona
contactar con la superficie articular, sin caracteres propios de rotura.
Menisco lateral con pequeña rotura radial incompleta de la unión del cuerno posterior con el
cuerpo, sin desplazamiento de segmentos.
Úlcera condral de espesor total de la zona de carga del cóndilo femoral lateral que mide
aproximadamente 6 x 5 mm en sus ejes mediolateral y anteroposterior, sin cambios óseos
secundarios. Fina úlcera condral focal de espesor total del aspecto posterior de platillo tibial
lateral. El resto de los cartílagos femorotibiales y patelofemorales sin alteraciones.
Leve a moderado derrame articular, probablemente hemartrosis. Leve cantidad de liquido
intermuscular en la región poplítea.
Tendones cuadricipital, rotuliano, tendones de la pata de ganso, bíceps femoral y banda iliotibial
dentro de límites normales.
Impresión:
Rotura espesor y ancho total del LCA.
Rotura radial incompleta de la unión del cuerno posterior con el cuerpo del menisco lateral.
Condropatía lesiones grado 3 del compartimento femorotibial lateral, previamente descritas.
Leve a moderado derrame articular, probablemente hemartrosis</x:v>
      </x:c>
      <x:c r="C8" s="144" t="str">
        <x:v>1</x:v>
      </x:c>
      <x:c r="D8" s="144" t="str">
        <x:v>0</x:v>
      </x:c>
      <x:c r="E8" s="144" t="str">
        <x:v>0</x:v>
      </x:c>
      <x:c r="F8" s="144" t="str">
        <x:v>1</x:v>
      </x:c>
      <x:c r="G8" s="144" t="str">
        <x:v>0</x:v>
      </x:c>
      <x:c r="H8" s="144" t="str">
        <x:v>1</x:v>
      </x:c>
      <x:c r="I8" s="144" t="str">
        <x:v>0</x:v>
      </x:c>
      <x:c r="J8" s="144" t="str">
        <x:v>1</x:v>
      </x:c>
      <x:c r="K8" s="144" t="str">
        <x:v>0</x:v>
      </x:c>
      <x:c r="L8" s="144" t="str">
        <x:v>0</x:v>
      </x:c>
      <x:c r="M8" s="144" t="str">
        <x:v>0</x:v>
      </x:c>
      <x:c r="N8" s="144" t="str">
        <x:v>0</x:v>
      </x:c>
    </x:row>
    <x:row r="9" ht="110" customHeight="1">
      <x:c r="A9" s="142" t="str">
        <x:v>1.2.826.0.1.3680043.8.498.11771393824519892797114773408583976756</x:v>
      </x:c>
      <x:c r="B9" s="143" t="str">
        <x:v>MRI of Knee with 
-Locator, SG PD FatSat, SG T2W FS, SG T1W, CO T2W FS, AX T2W FS
* High signal in the soft tissue medial to the medial collateral ligament with mild increased signal intensity of proximal ligament, suspect grade 2 injury.
* Interstitial hyperintense signal of ACL, in favor of grade 1 injury.
* Bone marrow edema in bilateral femoral condyles and anteromedial and posterolateral aspect of proximal tibia, suspect bone contusion.
* Subcutaneous edema over medial aspect of right knee.
* Some joint effusion of right knee with mild hypertrophy of the synovium, indicative of synovitis.
&gt; The contour of ACL &amp; PCL appear to be within normal.
&gt; No evidence of tear noted in either medial or lateral meniscus in this study.
&gt; The quadriceps and patellar tendons appear to be within normal.
Impression:
1. Suspect grade 2 injury of MCL with adjacent soft tissue edema over anteromedial aspect of right knee.
2. Suspect grade 1 injury of ACL.
3. Bone marrow edema in distal femur and proximal tibia (major at anteromedial and posterolateral aspect), suspect bone contusion.
4. Mild synovitis of right knee joint.
Suggest correlation with clinical manifestation.
</x:v>
      </x:c>
      <x:c r="C9" s="144" t="str">
        <x:v>0</x:v>
      </x:c>
      <x:c r="D9" s="144" t="str">
        <x:v>1</x:v>
      </x:c>
      <x:c r="E9" s="144" t="str">
        <x:v>0</x:v>
      </x:c>
      <x:c r="F9" s="144" t="str">
        <x:v>0</x:v>
      </x:c>
      <x:c r="G9" s="144" t="str">
        <x:v>0</x:v>
      </x:c>
      <x:c r="H9" s="144" t="str">
        <x:v>0</x:v>
      </x:c>
      <x:c r="I9" s="144" t="str">
        <x:v>0</x:v>
      </x:c>
      <x:c r="J9" s="144" t="str">
        <x:v>0</x:v>
      </x:c>
      <x:c r="K9" s="144" t="str">
        <x:v>0</x:v>
      </x:c>
      <x:c r="L9" s="144" t="str">
        <x:v>0</x:v>
      </x:c>
      <x:c r="M9" s="144" t="str">
        <x:v>1</x:v>
      </x:c>
      <x:c r="N9" s="144" t="str">
        <x:v>0</x:v>
      </x:c>
    </x:row>
    <x:row r="10" ht="110" customHeight="1">
      <x:c r="A10" s="142" t="str">
        <x:v>1.2.826.0.1.3680043.8.498.11851412923016044948101698015974810604</x:v>
      </x:c>
      <x:c r="B10" s="143" t="str">
        <x:v>Exam Type: MRI KNEE RIGHT WO CONTRAST
Exam Date and Time: [DATE] [TIME]
Indication: Pain
Comparison: No relevant prior studies available for comparison.
TECHNIQUE:
MRI of the right knee was performed on a 3.0 Tesla system with a dedicated knee coil in three planes (axial, sagittal, and coronal), using a standard non-contrast protocol.
FINDINGS:
OSSEOUS STRUCTURES:
Alignment is anatomic. Subchondral insufficiency fracture at the medial margin of the medial tibial plateau without articular surface collapse. Background marrow signal is normal without infiltrative marrow process. No aggressive osseous lesions.
JOINT SPACE:
Small joint effusion. No intra-articular bodies. Trace Baker's cyst.
MEDIAL COMPARTMENT:
Medial meniscus: Complete radial tear of the posterior root of medial meniscus with mild extrusion.
Medial compartment cartilage: High-grade cartilage fissuring along the posterior weightbearing medial femoral condyle. Mild marginal spurring at the medial joint line.
LATERAL COMPARTMENT:
Lateral meniscus: Partial inner margin radial tear at the anterior horn/body junction of the lateral meniscus without extrusion.
Lateral compartment cartilage: Low-grade cartilage fissuring spanning the weightbearing lateral femoral condyle. High-grade cartilage fissuring along the posterior lateral tibial plateau.
PATELLOFEMORAL COMPARTMENT:
Patellofemoral compartment cartilage: Low-grade cartilage fissuring along the central trochlea. Mild cartilage thinning along the medial patellar facet with mild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Subchondral insufficiency fracture at the medial margin of the medial tibial plateau without articular surface collapse.
2.	Medial and lateral meniscus tears as described.
3.	Tricompartmental chondrosis.
4.	Small knee effusion.
5.	Mild patellar tendinosis without tear.</x:v>
      </x:c>
      <x:c r="C10" s="144" t="str">
        <x:v>0</x:v>
      </x:c>
      <x:c r="D10" s="144" t="str">
        <x:v>0</x:v>
      </x:c>
      <x:c r="E10" s="144" t="str">
        <x:v>1</x:v>
      </x:c>
      <x:c r="F10" s="144" t="str">
        <x:v>1</x:v>
      </x:c>
      <x:c r="G10" s="144" t="str">
        <x:v>1</x:v>
      </x:c>
      <x:c r="H10" s="144" t="str">
        <x:v>0</x:v>
      </x:c>
      <x:c r="I10" s="144" t="str">
        <x:v>1</x:v>
      </x:c>
      <x:c r="J10" s="144" t="str">
        <x:v>1</x:v>
      </x:c>
      <x:c r="K10" s="144" t="str">
        <x:v>0</x:v>
      </x:c>
      <x:c r="L10" s="144" t="str">
        <x:v>0</x:v>
      </x:c>
      <x:c r="M10" s="144" t="str">
        <x:v>0</x:v>
      </x:c>
      <x:c r="N10" s="144" t="str">
        <x:v>1</x:v>
      </x:c>
    </x:row>
    <x:row r="11" ht="110" customHeight="1">
      <x:c r="A11" s="142" t="str">
        <x:v>1.2.826.0.1.3680043.8.498.11915937982684988073644209606907169581</x:v>
      </x:c>
      <x:c r="B11" s="143" t="str">
        <x:v>FINDINGS:
Fluid:
Small joint effusion with synovial thickening compatible with synovitis. There is popliteal cyst measuring 21 x 17 x 35 mm. Small amount of edema along the inferior margin of the popliteal cyst suggesting a minimal partial rupture.
Medial compartment (meniscus, collateral ligament, cartilage):
There is increased T2 hyperintense signal within the posterior horn of the medial meniscus extending into the posterior horn-body junction without extension to the articular surface, compatible with intrasubstance degeneration. No frank tear.
Mild thickening of the proximal fibers of the medial cruciate ligament, with mild edema, compatible with grade 1 sprain. No frank tear.
Moderate thinning of the articular cartilage of the weightbearing femur and tibia.
Lateral compartment (meniscus, collateral ligament complex, cartilage):
There is a complex degenerative tear of the lateral meniscus with partial maceration of the anterior horn and anterior body, as well as a longitudinal oblique component involving the posterior horn. There is a 4 mm small displaced fragment along the lateral tibial gutter.
Full-thickness fissures in the articular cartilage of the tibial weightbearing surface with associated subchondral bone marrow edema. There is moderate thinning of the articular cartilage of the weightbearing femur and of the tibial plateau. No subchondral bone marrow edema at the femur.
Mild increased signal intensity at the distal iliotibial band. The lateral collateral ligament complex is otherwise unremarkable.
Intercondylar compartment (anterior and posterior cruciate ligaments):
The anterior and posterior cruciate ligaments are unremarkable. Mild early intraosseous cystic changes at the tibial insertion of the anterior cruciate ligament.
Anterior compartment (extensor mechanism, cartilage, Hoffa's fat pad):
Multifocal deep and delaminating fissuring of the articular cartilage of the patellar facet without associated subchondral bone marrow edema. Additionally, there is moderate thinning of the articular cartilage of the femoral trochlea without subchondral bone marrow edema.
Mild distal quadriceps tendinosis with mild edema in the suprapatellar fat pad.
Mild patellar tendinosis.
Bones:
Normal.
Muscles and neurovascular structures:
Normal.
Other findings:
Nonspecific edema in the anterior subcutaneous tissues along the infrapatellar region.
Small amount of fluid in the pes anserine bursa.
CONCLUSION:
- Tricompartmental moderate chondral thinning with deep fissures at the lateral and patellofemoral compartments, as described above.
- Complex degenerative tear of the lateral meniscus with tiny displaced fragment.
- Low-grade sprain of the medial collateral ligament.
- Small joint effusion with synovitis.
- Moderate-sized popliteal cyst with minimal partial rupture. 
</x:v>
      </x:c>
      <x:c r="C11" s="144" t="str">
        <x:v>0</x:v>
      </x:c>
      <x:c r="D11" s="144" t="str">
        <x:v>0</x:v>
      </x:c>
      <x:c r="E11" s="144" t="str">
        <x:v>0</x:v>
      </x:c>
      <x:c r="F11" s="144" t="str">
        <x:v>1</x:v>
      </x:c>
      <x:c r="G11" s="144" t="str">
        <x:v>0</x:v>
      </x:c>
      <x:c r="H11" s="144" t="str">
        <x:v>1</x:v>
      </x:c>
      <x:c r="I11" s="144" t="str">
        <x:v>1</x:v>
      </x:c>
      <x:c r="J11" s="144" t="str">
        <x:v>1</x:v>
      </x:c>
      <x:c r="K11" s="144" t="str">
        <x:v>1</x:v>
      </x:c>
      <x:c r="L11" s="144" t="str">
        <x:v>1</x:v>
      </x:c>
      <x:c r="M11" s="144" t="str">
        <x:v>0</x:v>
      </x:c>
      <x:c r="N11" s="144" t="str">
        <x:v>0</x:v>
      </x:c>
    </x:row>
    <x:row r="12" ht="110" customHeight="1">
      <x:c r="A12" s="142" t="str">
        <x:v>1.2.826.0.1.3680043.8.498.12448079646359892252441208258836556945</x:v>
      </x:c>
      <x:c r="B12" s="143" t="str">
        <x:v>Técnica: RMN de la rodilla. Resultados: Fricción de la banda iliotibial. Síndrome de pinzamiento de la almohadilla grasa de Hoffa. Condropatía rotuliana. Impresión: Fricción de la banda iliotibial. Síndrome de pinzamiento de la almohadilla grasa de Hoffa. Condropatía rotuliana.</x:v>
      </x:c>
      <x:c r="C12" s="144" t="str">
        <x:v>0</x:v>
      </x:c>
      <x:c r="D12" s="144" t="str">
        <x:v>0</x:v>
      </x:c>
      <x:c r="E12" s="144" t="str">
        <x:v>0</x:v>
      </x:c>
      <x:c r="F12" s="144" t="str">
        <x:v>0</x:v>
      </x:c>
      <x:c r="G12" s="144" t="str">
        <x:v>0</x:v>
      </x:c>
      <x:c r="H12" s="144" t="str">
        <x:v>0</x:v>
      </x:c>
      <x:c r="I12" s="144" t="str">
        <x:v>1</x:v>
      </x:c>
      <x:c r="J12" s="144" t="str">
        <x:v>0</x:v>
      </x:c>
      <x:c r="K12" s="144" t="str">
        <x:v>1</x:v>
      </x:c>
      <x:c r="L12" s="144" t="str">
        <x:v>0</x:v>
      </x:c>
      <x:c r="M12" s="144" t="str">
        <x:v>0</x:v>
      </x:c>
      <x:c r="N12" s="144" t="str">
        <x:v>0</x:v>
      </x:c>
    </x:row>
    <x:row r="13" ht="110" customHeight="1">
      <x:c r="A13" s="142" t="str">
        <x:v>1.2.826.0.1.3680043.8.498.12505035424093604269515328931488770819</x:v>
      </x:c>
      <x:c r="B13" s="143" t="str">
        <x:v>Técnica: RMN de la rodilla. Resultados: Rotura del LCA. Rotura parcial del LCM. Rotura de menisco interno y lateral. Derrame. Contusiones óseas femorotibiales. Impresión: Rotura del LCA. Rotura parcial del LCM. Rotura de menisco interno y lateral. Derrame. Contusiones óseas femorotibiales.</x:v>
      </x:c>
      <x:c r="C13" s="144" t="str">
        <x:v>1</x:v>
      </x:c>
      <x:c r="D13" s="144" t="str">
        <x:v>1</x:v>
      </x:c>
      <x:c r="E13" s="144" t="str">
        <x:v>0</x:v>
      </x:c>
      <x:c r="F13" s="144" t="str">
        <x:v>1</x:v>
      </x:c>
      <x:c r="G13" s="144" t="str">
        <x:v>0</x:v>
      </x:c>
      <x:c r="H13" s="144" t="str">
        <x:v>0</x:v>
      </x:c>
      <x:c r="I13" s="144" t="str">
        <x:v>0</x:v>
      </x:c>
      <x:c r="J13" s="144" t="str">
        <x:v>1</x:v>
      </x:c>
      <x:c r="K13" s="144" t="str">
        <x:v>0</x:v>
      </x:c>
      <x:c r="L13" s="144" t="str">
        <x:v>0</x:v>
      </x:c>
      <x:c r="M13" s="144" t="str">
        <x:v>0</x:v>
      </x:c>
      <x:c r="N13" s="144" t="str">
        <x:v>1</x:v>
      </x:c>
    </x:row>
    <x:row r="14" ht="110" customHeight="1">
      <x:c r="A14" s="142" t="str">
        <x:v>1.2.826.0.1.3680043.8.498.12606657226568558340797193167488111973</x:v>
      </x:c>
      <x:c r="B14" s="143" t="str">
        <x:v>In the medial compartment, the meniscus is not torn and there is no focal chondrosis or chondral injury. 
 The lateral compartment, there is longitudinal vertical oblique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grade II ligamentous sprain (partial tear) of the medial collateral ligament. The posteromedial oblique ligament is intact. The lateral collateral ligament complexes are intact. The extensor mechanism is normal.  
 No knee effusion is present. The surrounding musculature is normal. There is no fracture or bone contusion. - Longitudinal vertical oblique tear at the posterior horn of the lateral meniscus. 
 - Complete tear of the anterior cruciate ligament, at mid substance. 
 - Grade II ligamentous sprain (partial tear) of the medial collateral ligament.</x:v>
      </x:c>
      <x:c r="C14" s="144" t="str">
        <x:v>1</x:v>
      </x:c>
      <x:c r="D14" s="144" t="str">
        <x:v>1</x:v>
      </x:c>
      <x:c r="E14" s="144" t="str">
        <x:v>0</x:v>
      </x:c>
      <x:c r="F14" s="144" t="str">
        <x:v>1</x:v>
      </x:c>
      <x:c r="G14" s="144" t="str">
        <x:v>0</x:v>
      </x:c>
      <x:c r="H14" s="144" t="str">
        <x:v>0</x:v>
      </x:c>
      <x:c r="I14" s="144" t="str">
        <x:v>0</x:v>
      </x:c>
      <x:c r="J14" s="144" t="str">
        <x:v>0</x:v>
      </x:c>
      <x:c r="K14" s="144" t="str">
        <x:v>0</x:v>
      </x:c>
      <x:c r="L14" s="144" t="str">
        <x:v>0</x:v>
      </x:c>
      <x:c r="M14" s="144" t="str">
        <x:v>0</x:v>
      </x:c>
      <x:c r="N14" s="144" t="str">
        <x:v>0</x:v>
      </x:c>
    </x:row>
    <x:row r="15" ht="110" customHeight="1">
      <x:c r="A15" s="142" t="str">
        <x:v>1.2.826.0.1.3680043.8.498.12801308844398614687904447633432197492</x:v>
      </x:c>
      <x:c r="B15" s="143" t="str">
        <x:v>ΤΕΧΝΙΚΗ Η εξέταση έγινε µε ακολουθίες παλµών Τ1, πυκνότητας πρωτονίων µε καταστολή του σήµατος του λίπους και Τ2 βαθµιδωτής ηχούς. ΕΥΡΗΜΑΤΑ - Στο έσω διαµέρισµα παρατηρείται εκφυλιστική ρήξη στο οπίσθιο κέρας και σώµα του µηνίσκου. Επιπλέον παρατηρείται ήπιο οστεοµυελικό οίδηµα και πλήρης εξάλειψη του αρθρικού χόνδρου (ICRS Grade IV) στον έσω κνηµιαίο κόνδυλο, ενώ συνυπάρχουν µικρής έκτασης επιχείλια οστεόφυτα στον µηριαίο και κνηµιαίο κόνδυλο. - Από τον έλεγχο του έξω διαµερίσµατος παρατηρείται ήπιο οστεοµυελικό οίδηµα στον έξω κνηµιαίο κόνδυλο. - Από τον έλεγχο του πρόσθιου διαµερίσµατος δεν σηµειώνονται παθολογικά ευρήµατα. - Φυσιολογικά απεικονίζονται οι πλάγιοι και χιαστοί σύνδεσµοί. - Παρατηρείται µέτρια ποσότητα υγρού ενδαρθρικά που συνέχεται µε ευµεγέθη πολύχωρη συνοβιακή κύστη Baker κεφαλουραίας διαµέτρου 9,7εκ παρά την έσω κεφαλή του γαστροκνηµίου µυός. Συµπέρασµα 1. Εκφυλιστική οστεοαρθρίτιδα και εκφυλισττική ρήξη του µηνίσκου στο έσω διαµέρισµα. 2. Μικροδοκιδώδη κατάγµατα ανεπάρκειας (συνώνυµο SONK) έσω κνηµιαιίου και σε µικρότερη έκταση πρόσθιου έξω κνηµιαίου κονδύλου. ∆εν παρατηρείται καθίζηση της αρθρικής επιφάνειας.</x:v>
      </x:c>
      <x:c r="C15" s="144" t="str">
        <x:v>0</x:v>
      </x:c>
      <x:c r="D15" s="144" t="str">
        <x:v>0</x:v>
      </x:c>
      <x:c r="E15" s="144" t="str">
        <x:v>1</x:v>
      </x:c>
      <x:c r="F15" s="144" t="str">
        <x:v>1</x:v>
      </x:c>
      <x:c r="G15" s="144" t="str">
        <x:v>1</x:v>
      </x:c>
      <x:c r="H15" s="144" t="str">
        <x:v>0</x:v>
      </x:c>
      <x:c r="I15" s="144" t="str">
        <x:v>0</x:v>
      </x:c>
      <x:c r="J15" s="144" t="str">
        <x:v>1</x:v>
      </x:c>
      <x:c r="K15" s="144" t="str">
        <x:v>1</x:v>
      </x:c>
      <x:c r="L15" s="144" t="str">
        <x:v>1</x:v>
      </x:c>
      <x:c r="M15" s="144" t="str">
        <x:v>1</x:v>
      </x:c>
      <x:c r="N15" s="144" t="str">
        <x:v>0</x:v>
      </x:c>
    </x:row>
    <x:row r="16" ht="110" customHeight="1">
      <x:c r="A16" s="142" t="str">
        <x:v>1.2.826.0.1.3680043.8.498.12978510157202852202776899910529174803</x:v>
      </x:c>
      <x:c r="B16" s="143" t="str">
        <x:v>МР находка: МР данни за фрактура на тибията в областта на интеркондиларните еминенции. Фрактурата е без данни за значима дислокация. Визуализира се контузионен костномозъчен едем в тибията срединно и към медиалното тибиално плато. Минимален субхондрален едем се изобразява и по медиалната повърхност на пателата. Хрущялът, покриващ ставните повърхности на костите е съхранен. Кръстните връзки са със запазена цялост. Нормално представени менискуси. Хрущял на пателата, ретинакулуми – нормално представени. Insall-Salvati ratio – 1,3. Нормално изобразяване на сухожилието на пателата и на м. квадрицепс феморис. Наличие на минимален ставен излив. Заключение:  МР данни за фрактура на тибията в областта на интеркондиларните еминенции, без значима дислокация. Контузионен костномозъчен едем. Минимален ставен излив. </x:v>
      </x:c>
      <x:c r="C16" s="144" t="str">
        <x:v>0</x:v>
      </x:c>
      <x:c r="D16" s="144" t="str">
        <x:v>0</x:v>
      </x:c>
      <x:c r="E16" s="144" t="str">
        <x:v>0</x:v>
      </x:c>
      <x:c r="F16" s="144" t="str">
        <x:v>0</x:v>
      </x:c>
      <x:c r="G16" s="144" t="str">
        <x:v>0</x:v>
      </x:c>
      <x:c r="H16" s="144" t="str">
        <x:v>0</x:v>
      </x:c>
      <x:c r="I16" s="144" t="str">
        <x:v>0</x:v>
      </x:c>
      <x:c r="J16" s="144" t="str">
        <x:v>0</x:v>
      </x:c>
      <x:c r="K16" s="144" t="str">
        <x:v>0</x:v>
      </x:c>
      <x:c r="L16" s="144" t="str">
        <x:v>0</x:v>
      </x:c>
      <x:c r="M16" s="144" t="str">
        <x:v>0</x:v>
      </x:c>
      <x:c r="N16" s="144" t="str">
        <x:v>1</x:v>
      </x:c>
    </x:row>
    <x:row r="17" ht="110" customHeight="1">
      <x:c r="A17" s="142" t="str">
        <x:v>1.2.826.0.1.3680043.8.498.13267780356245120052411517053322874891</x:v>
      </x:c>
      <x:c r="B17" s="143" t="str">
        <x:v>&gt; MRI of knee was performed in sagittal, axial and coronal sections.
&gt; Spin echo sequence were used.
&gt; Split fractures at tibial plateau with depression of the lateral articular surface and extending to tibial intercondylar region
&gt; Bone contusion with neglected fracture line at fibular head.
&gt; The contour of ACL is not all in a straight line but increase signal intensity inside, in favor of grade 2 injury.
&gt; The contour of PCL appears to be within normal, no abnormal signal intensity is noted.
&gt; There are linear signal intensity in anterior horn of medial meniscus, it extends into the surface, in favor of tear.
&gt; Medial meniscus appears to be normal.
&gt; Both medial &amp; lateral collateral ligaments appear to be within normal.
&gt; Some joint effusion
Impression: 
1. C/W Tibia plateau fracutre and fibular head fracture with bone contusion.
2. Grade 2 injury of anterior cruciate ligament.
3. Tear of anterior horn of lateral meniscus.
Suggest correlation with clinical manifestation
</x:v>
      </x:c>
      <x:c r="C17" s="144" t="str">
        <x:v>0</x:v>
      </x:c>
      <x:c r="D17" s="144" t="str">
        <x:v>0</x:v>
      </x:c>
      <x:c r="E17" s="144" t="str">
        <x:v>0</x:v>
      </x:c>
      <x:c r="F17" s="144" t="str">
        <x:v>1</x:v>
      </x:c>
      <x:c r="G17" s="144" t="str">
        <x:v>0</x:v>
      </x:c>
      <x:c r="H17" s="144" t="str">
        <x:v>0</x:v>
      </x:c>
      <x:c r="I17" s="144" t="str">
        <x:v>0</x:v>
      </x:c>
      <x:c r="J17" s="144" t="str">
        <x:v>0</x:v>
      </x:c>
      <x:c r="K17" s="144" t="str">
        <x:v>0</x:v>
      </x:c>
      <x:c r="L17" s="144" t="str">
        <x:v>0</x:v>
      </x:c>
      <x:c r="M17" s="144" t="str">
        <x:v>0</x:v>
      </x:c>
      <x:c r="N17" s="144" t="str">
        <x:v>1</x:v>
      </x:c>
    </x:row>
    <x:row r="18" ht="110" customHeight="1">
      <x:c r="A18" s="142" t="str">
        <x:v>1.2.826.0.1.3680043.8.498.13335129881737731410081002627729200903</x:v>
      </x:c>
      <x:c r="B18" s="143" t="str">
        <x:v>[DATE]: MR Knie Rechts 15ch AA: Klinische inlichtingen: Zie gescande aanvraag Diagnostische vraagstelling: Zie gescande aanvraag Bevindingen: Gevorderd lateraal femorotibiaal kraakbeenlijden met volledig kraakbeenverlies anterieur, centrale en posterieure dragende deel en van het laterale tibiaplateau, gepaard gaand met marginale osteofytose, beperkte subchondrale botveranderingen. Degeneratief voorkomen laterale meniscus met opzetting van het corpus, die zich bevindt buiten de gewrichtsspleet . Verder opzetting van suprapatellaire recessus, met talrijke verdikkingen van van het synovium, nodulair beginnend tot matig femoropatellair kraakbeenlijden met meerdere fissuren. Matig mediaal femorotibiaal kraakbeenlijden, met quasi volledig kraakbeenverlies dragende deel mediale femorale condyl, uitgebreide marginale osteofytose,. Gevorderde muco ïde degeneratie van de voorste kruisband, met opgezet voorkomen en gestegen T2-signaal . Popliteale cyste, met beperkte vochtinfiltratie oppervlakkig aan de musculus gastrocnemius medialis . Besluit: Gevorderde gonartrose van de rechterknie, op heden met hydrops, chronische synovitis, gevorderde muco ïde degeneratie voorste kruisband, recente scheur van popliteale cyste , echter zonder significant botoedeem .</x:v>
      </x:c>
      <x:c r="C18" s="144" t="str">
        <x:v>1</x:v>
      </x:c>
      <x:c r="D18" s="144" t="str">
        <x:v>0</x:v>
      </x:c>
      <x:c r="E18" s="144" t="str">
        <x:v>1</x:v>
      </x:c>
      <x:c r="F18" s="144" t="str">
        <x:v>1</x:v>
      </x:c>
      <x:c r="G18" s="144" t="str">
        <x:v>1</x:v>
      </x:c>
      <x:c r="H18" s="144" t="str">
        <x:v>1</x:v>
      </x:c>
      <x:c r="I18" s="144" t="str">
        <x:v>1</x:v>
      </x:c>
      <x:c r="J18" s="144" t="str">
        <x:v>1</x:v>
      </x:c>
      <x:c r="K18" s="144" t="str">
        <x:v>1</x:v>
      </x:c>
      <x:c r="L18" s="144" t="str">
        <x:v>1</x:v>
      </x:c>
      <x:c r="M18" s="144" t="str">
        <x:v>0</x:v>
      </x:c>
      <x:c r="N18" s="144" t="str">
        <x:v>0</x:v>
      </x:c>
    </x:row>
    <x:row r="19" ht="110" customHeight="1">
      <x:c r="A19" s="142" t="str">
        <x:v>1.2.826.0.1.3680043.8.498.15593638897292057356864060466120253309</x:v>
      </x:c>
      <x:c r="B19" s="143" t="str">
        <x:v>Antecedentes Clínicos:
Gonalgia izquierda.
Hallazgos:
No hay alteraciones de señal significativas de la médula ósea.
Transformación quística parcial del tercio proximal del LCA. LCP y ligamentos colaterales dentro de límites
normales.
Aumento de señal central del cuerno posterior y cuerpo del menisco medial que contacta la superficie
articular inferior sugieran una rotura.
Rotura del cuerno anterior, cuerpo y cuerno posterior del menisco lateral con mínima extrusión. Esto se
asocia a edema las partes blandas regionales.
Úlceras condrales de espesor parcial y total de la región central de la zona de carga del cóndilo femoral
medial. Úlceras condrales espesor parcial de la región central del platillo tibial lateral. Condropatía
superficial del resto de los cartílagos femorotibiales y de la tróclea femoral.
Úlceras condrales de espesor total de distribución difusa de la rótula.
Leve derrame articular con discreta sinovitis. No hay quistes poplíteos.
Tendones cuadricipital, rotuliano, tendones de la pata de ganso, bíceps femoral y banda iliotibial dentro de
límites normales.
Impresión:
Signos de una rotura del menisco medial, no desplazada.
Rotura compleja del cuerno anterior, cuerpo y cuerno posterior del menisco lateral con mínima extrusión y
edema de las partes blandas regionales.
Condropatía lesiones grado 3 de la región central de la zona de carga del cóndilo femoral medial y del
platillo tibial lateral.
Condropatía superficial del resto de los compartimentos femorotibiales.
Condropatía lesiones grado 2 y 3 de la rótula.
Leve derrame articular con discreta sinovitis difusa.</x:v>
      </x:c>
      <x:c r="C19" s="144" t="str">
        <x:v>0</x:v>
      </x:c>
      <x:c r="D19" s="144" t="str">
        <x:v>0</x:v>
      </x:c>
      <x:c r="E19" s="144" t="str">
        <x:v>0</x:v>
      </x:c>
      <x:c r="F19" s="144" t="str">
        <x:v>1</x:v>
      </x:c>
      <x:c r="G19" s="144" t="str">
        <x:v>1</x:v>
      </x:c>
      <x:c r="H19" s="144" t="str">
        <x:v>1</x:v>
      </x:c>
      <x:c r="I19" s="144" t="str">
        <x:v>1</x:v>
      </x:c>
      <x:c r="J19" s="144" t="str">
        <x:v>0</x:v>
      </x:c>
      <x:c r="K19" s="144" t="str">
        <x:v>1</x:v>
      </x:c>
      <x:c r="L19" s="144" t="str">
        <x:v>0</x:v>
      </x:c>
      <x:c r="M19" s="144" t="str">
        <x:v>0</x:v>
      </x:c>
      <x:c r="N19" s="144" t="str">
        <x:v>0</x:v>
      </x:c>
    </x:row>
    <x:row r="20" ht="110" customHeight="1">
      <x:c r="A20" s="142" t="str">
        <x:v>1.2.826.0.1.3680043.8.498.16060119389060497136231217718921482192</x:v>
      </x:c>
      <x:c r="B20" s="143" t="str">
        <x:v>Technique: MRI of the knee. ACL normal. MCL normal. Medial meniscus tear. Lateral meniscus tear. Incipient OA of all three compartmens.  Baker's cyst present. Large effusion. Insufficient fracture of medial femoral condyl with adjacent bone marrow oedema. Conclusion: Medial meniscus tear. Lateral meniscus tear. Incipient OA of all three compartmens.  Baker's cyst present. Large effusion. Medial condyl fracture.</x:v>
      </x:c>
      <x:c r="C20" s="144" t="str">
        <x:v>0</x:v>
      </x:c>
      <x:c r="D20" s="144" t="str">
        <x:v>0</x:v>
      </x:c>
      <x:c r="E20" s="144" t="str">
        <x:v>1</x:v>
      </x:c>
      <x:c r="F20" s="144" t="str">
        <x:v>1</x:v>
      </x:c>
      <x:c r="G20" s="144" t="str">
        <x:v>1</x:v>
      </x:c>
      <x:c r="H20" s="144" t="str">
        <x:v>1</x:v>
      </x:c>
      <x:c r="I20" s="144" t="str">
        <x:v>1</x:v>
      </x:c>
      <x:c r="J20" s="144" t="str">
        <x:v>1</x:v>
      </x:c>
      <x:c r="K20" s="144" t="str">
        <x:v>1</x:v>
      </x:c>
      <x:c r="L20" s="144" t="str">
        <x:v>1</x:v>
      </x:c>
      <x:c r="M20" s="144" t="str">
        <x:v>0</x:v>
      </x:c>
      <x:c r="N20" s="144" t="str">
        <x:v>1</x:v>
      </x:c>
    </x:row>
    <x:row r="21" ht="110" customHeight="1">
      <x:c r="A21" s="142" t="str">
        <x:v>1.2.826.0.1.3680043.8.498.17844546765907321649997094867791102711</x:v>
      </x:c>
      <x:c r="B21" s="143" t="str">
        <x:v>Diz eklemi içi sıvı miktarı hafif derecede artmış. Lateral femoral kondilin ağırlık taşıyan yüzeyinin anteriyor yarısındaki subkondral kırığı kemik iliği ödemi çevreliyor. Tibyal plato posterolateral köşesinde pivot kayması ile ilintili kemik kontüzyonu mevcut. Ön çapraz bağdaki laksite artışı ve ödem yüksek olasılıkla tam kat-tam kata yakın yırtık ile birlikte. Posteriyor oblik ve oblik popliteal bağlar ödemli ancak menisküs yırtığı eşlik etmiyor. Posteriyor medyal köşe yapıları bunların dışında korunmuş. Arka çapraz ve yan bağlar normal. Posterolateral köşe yapıları korunmuş. Medyal menisküs ve lateral menisküs normal. Eklem kıkırdakları ve kemikler bunların dışında normal. Ekstensör mekanizma korunmuş (kuadriseps tendonu ve patellar tendon, patella ve yerleşimi, femoral troklear oluk ve patellofemoral bağlar normal).</x:v>
      </x:c>
      <x:c r="C21" s="144" t="str">
        <x:v>1</x:v>
      </x:c>
      <x:c r="D21" s="144" t="str">
        <x:v>0</x:v>
      </x:c>
      <x:c r="E21" s="144" t="str">
        <x:v>0</x:v>
      </x:c>
      <x:c r="F21" s="144" t="str">
        <x:v>0</x:v>
      </x:c>
      <x:c r="G21" s="144" t="str">
        <x:v>0</x:v>
      </x:c>
      <x:c r="H21" s="144" t="str">
        <x:v>0</x:v>
      </x:c>
      <x:c r="I21" s="144" t="str">
        <x:v>0</x:v>
      </x:c>
      <x:c r="J21" s="144" t="str">
        <x:v>1</x:v>
      </x:c>
      <x:c r="K21" s="144" t="str">
        <x:v>0</x:v>
      </x:c>
      <x:c r="L21" s="144" t="str">
        <x:v>0</x:v>
      </x:c>
      <x:c r="M21" s="144" t="str">
        <x:v>0</x:v>
      </x:c>
      <x:c r="N21" s="144" t="str">
        <x:v>1</x:v>
      </x:c>
    </x:row>
    <x:row r="22" ht="110" customHeight="1">
      <x:c r="A22" s="142" t="str">
        <x:v>1.2.826.0.1.3680043.8.498.18392509497170616983977319528036573378</x:v>
      </x:c>
      <x:c r="B22" s="143" t="str">
        <x:v>SOL DİZ MRG. Tetkik protokolü: Çok düzlemli, çok sekanslı. Bulgular: Medial ve lateral  menisküs posterior hornu ve gövde kesiminde grade II dejenerasyon izlenmiştir.Arka çapraz bağ, lateral kollateral ligaman normaldir.Anterior çapraz bağda komplet rüptüre sekonder bütünlük kaybı izlenmiştir. Medial kollateral ligamende incelme ve periligamentöz ödem izlenmiştir. Distal kuadriseps ve patellar tendonlar normaldir. Patella normal yerleşimlidir. Retinaküler devamsızlık yoktur.Suprapatellar bursa ve diz eklem mesafesinde sıvı artışı izlenmiştir.Femur lateral kondilde subartiküler nondeplase fraktür ve komşu kemik iliğinde ödem izlenmiştir.Tibia lateral plato posteriorunda fibula başında kontüzyonel kemik iliği ödemleri izlenmektedir.Tibianın tibiafemoral eklemden hafif anteriora doğru subluksasyonu izlenmiştir.Soleus kası proksimal kesimde kas dokuda STIR sekans ödeme bağlı sinyal artışı, kas basısında sıvı artışı mevcuttur.SONUÇ:Anterior çapraz bağ komplet rüptürü.Tibia ve femurda kissing kontüzyon ve femurda subartiküler fraktür.Tibianın anteriora hafif subluksasyonu.Medial ve lateral menisküste grade II meniskopati.Medial kollateral ligamanda grade I sprain.Suprapatellar bursit, diz ekleminde hafif sinovit.Soleus kasında grade I strain .</x:v>
      </x:c>
      <x:c r="C22" s="144" t="str">
        <x:v>1</x:v>
      </x:c>
      <x:c r="D22" s="144" t="str">
        <x:v>0</x:v>
      </x:c>
      <x:c r="E22" s="144" t="str">
        <x:v>1</x:v>
      </x:c>
      <x:c r="F22" s="144" t="str">
        <x:v>0</x:v>
      </x:c>
      <x:c r="G22" s="144" t="str">
        <x:v>0</x:v>
      </x:c>
      <x:c r="H22" s="144" t="str">
        <x:v>0</x:v>
      </x:c>
      <x:c r="I22" s="144" t="str">
        <x:v>0</x:v>
      </x:c>
      <x:c r="J22" s="144" t="str">
        <x:v>1</x:v>
      </x:c>
      <x:c r="K22" s="144" t="str">
        <x:v>1</x:v>
      </x:c>
      <x:c r="L22" s="144" t="str">
        <x:v>0</x:v>
      </x:c>
      <x:c r="M22" s="144" t="str">
        <x:v>1</x:v>
      </x:c>
      <x:c r="N22" s="144" t="str">
        <x:v>1</x:v>
      </x:c>
    </x:row>
    <x:row r="23" ht="110" customHeight="1">
      <x:c r="A23" s="142" t="str">
        <x:v>1.2.826.0.1.3680043.8.498.22109739962224309418874538994436903404</x:v>
      </x:c>
      <x:c r="B23" s="143" t="str">
        <x:v>Exam Type: MRI KNEE LEFT WO CONTRAST
Exam Date and Time: [DATE] [TIME]
Indication: Pain.
Comparison: [REDACTED].
TECHNIQUE:
MRI of the lumbar knee was performed on a 3.0 Tesla system with a dedicated knee coil in three planes (axial, sagittal, and coronal), using a standard non-contrast protocol.
FINDINGS:
OSSEOUS STRUCTURES:
Minimal degenerative subchondral bone marrow edema is present at the lateral tibiofemoral compartment related to overlying chondrosis. No acute fracture or bone bruise. Background marrow signal is normal without infiltrative marrow process. No aggressive osseous lesions.
JOINT SPACE:
Small joint effusion. No intra-articular bodies. Moderate-sized Baker cyst with slight surrounding edema likely representing leakage.
There are postoperative changes anteriorly consistent with previous arthroscopic surgery.
MEDIAL COMPARTMENT:
Medial meniscus: Normal in morphology and signal.
Medial compartment cartilage: Cartilage appears intact.
LATERAL COMPARTMENT:
Lateral meniscus: There is a diminutive appearance of the body and posterior horn consistent with previous partial meniscectomy. There is irregularity of the inner margin diffusely consistent with recurrent tear. There is moderate extrusion.
Lateral compartment cartilage: Mild cartilage thinning and fissuring is present at the posterior and peripheral weightbearing aspect, with minimal degenerative subchondral bone marrow edema.
PATELLOFEMORAL COMPARTMENT:
Patellofemoral compartment cartilage: There is mild cartilage thinning and surface irregularity at the patella and trochlea, medial greater than lateral.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with diffuse thickening.
Patella tendon: Moderate tendinosis with diffuse thickening.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A thickened medial patellar plica is present, extending into the patellofemoral compartment.
MUSCLES/TENDONS:
No acute muscle strain or muscle atrophy. Visualized tendons not previously discussed are intact without tendinosis or tear.
SOFT TISSUES:
No soft tissue mass. Normal popliteal neurovascular bundle.
[REDACTED]. Lateral compartment chondrosis appears new or increased. Otherwise, no significant interval change.
IMPRESSION:
1. Previous partial lateral meniscectomy with recurrent tear.
2. Chondrosis in the patellofemoral and lateral tibiofemoral compartment.
3. Quadriceps and patellar tendinosis.
4. Thickened medial patellar plica.
5. Small joint effusion. Moderate Baker cyst with evidence of leakage.</x:v>
      </x:c>
      <x:c r="C23" s="144" t="str">
        <x:v>0</x:v>
      </x:c>
      <x:c r="D23" s="144" t="str">
        <x:v>0</x:v>
      </x:c>
      <x:c r="E23" s="144" t="str">
        <x:v>0</x:v>
      </x:c>
      <x:c r="F23" s="144" t="str">
        <x:v>1</x:v>
      </x:c>
      <x:c r="G23" s="144" t="str">
        <x:v>1</x:v>
      </x:c>
      <x:c r="H23" s="144" t="str">
        <x:v>1</x:v>
      </x:c>
      <x:c r="I23" s="144" t="str">
        <x:v>0</x:v>
      </x:c>
      <x:c r="J23" s="144" t="str">
        <x:v>0</x:v>
      </x:c>
      <x:c r="K23" s="144" t="str">
        <x:v>0</x:v>
      </x:c>
      <x:c r="L23" s="144" t="str">
        <x:v>1</x:v>
      </x:c>
      <x:c r="M23" s="144" t="str">
        <x:v>0</x:v>
      </x:c>
      <x:c r="N23" s="144" t="str">
        <x:v>0</x:v>
      </x:c>
    </x:row>
    <x:row r="24" ht="110" customHeight="1">
      <x:c r="A24" s="142" t="str">
        <x:v>1.2.826.0.1.3680043.8.498.25695966186129395049687747156570466645</x:v>
      </x:c>
      <x:c r="B24" s="143" t="str">
        <x:v>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χιαστών και πλαγίων συνδέσµων δεν παρατηρούνται αξιόλογα ευρήµατα. Απλή εκφύλιση παρατηρείται στον έξω µηνίσκο. Εκφύλιση και ήπιο υπεξάρθρηµα παρατηρείται στον έσω µηνίσκο. Στο έσω διαµέρισµα παρατηρούνται επιπλέον ήπιο υπαρθρικό οστεοµυελικό οίδηµα στον έσω µηριαίο κόνδυλο και εστιακή διάβρωση του αρθρικού χόνδρου του έσω µηριαίου κονδύλου στον άξονα φόρτισης (ICRS grade II). Μόλις αναγνωρίζεται οστεοµυελικό οίδηµα στην άπω επίφυση του µηριαίου οστού και στην εγγύς επίφυση της κνήµης. Συλλογή υγρού παρατηρείται ενδαρθρικά µε κατά τόπους πάχυνση του υµένα. Από τον έλεγχο του εκτατικού µηχανισµού δεν παρατηρούνται αξιόλογα ευρήµατα. Συµπέρασµα: Ευρήµατα αρχόµενης εκφυλιστικής οστεοαρθρίτιδας κατά το έσω διαµέρισµα. Λόγω της ήπιας υµενίτιδας συνιστάται ρευµατολογικός έλεγχος για διερεύνηση πιθανής υποκείµενης φλεγµονώδους αρθρίτιδας. Το µόλις αναγνωρίσιµο οστεοµυελικό οίδηµα στις επιφύσεις περιαρθρικά, θα µπορούσε να αποδοθεί σε αρχόµενο µικροδοκιδώδες κάταγµα ανεπάρκειας χωρίς καθίζηση της αρθρικής επιφάνειας. 
[BILATERAL NOTE: two reports filed under this study]
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χιαστών και πλαγίων συνδέσµων, του έσω µηνίσκου, του οστικού µυελού και του αρθρικού χόνδρου δεν παρατηρούνται αξιόλογα ευρήµατα. Ο έξω µηνίσκος έχει δισκοειδή µορφολογία. Από τον έλεγχο του εκτατικού µηχανισµού παρατηρείται ευµεγέθης συγγενώς κάτω πόλος της επιγονατίδας (elongated patella) καθώς επίσης και οίδηµα του υπερεπιγονατιδικού λιπώδους σώµατος που συνηγορεί για πρόσκρουση του τετρακεφάλου τένοντα επί του µηριαίου οστού. Μικρή συλλογή υγρού παρατηρείται ενδαρθρικά σε επικοινωνία µε µικρή συνοβιακή κύστη Baker.</x:v>
      </x:c>
      <x:c r="C24" s="144" t="str">
        <x:v>0</x:v>
      </x:c>
      <x:c r="D24" s="144" t="str">
        <x:v>0</x:v>
      </x:c>
      <x:c r="E24" s="144" t="str">
        <x:v>1</x:v>
      </x:c>
      <x:c r="F24" s="144" t="str">
        <x:v>1</x:v>
      </x:c>
      <x:c r="G24" s="144" t="str">
        <x:v>1</x:v>
      </x:c>
      <x:c r="H24" s="144" t="str">
        <x:v>0</x:v>
      </x:c>
      <x:c r="I24" s="144" t="str">
        <x:v>0</x:v>
      </x:c>
      <x:c r="J24" s="144" t="str">
        <x:v>1</x:v>
      </x:c>
      <x:c r="K24" s="144" t="str">
        <x:v>1</x:v>
      </x:c>
      <x:c r="L24" s="144" t="str">
        <x:v>0</x:v>
      </x:c>
      <x:c r="M24" s="144" t="str">
        <x:v>0</x:v>
      </x:c>
      <x:c r="N24" s="144" t="str">
        <x:v>0</x:v>
      </x:c>
    </x:row>
    <x:row r="25" ht="110" customHeight="1">
      <x:c r="A25" s="142" t="str">
        <x:v>1.2.826.0.1.3680043.8.498.26790702379506190936834447203448882465</x:v>
      </x:c>
      <x:c r="B25" s="143" t="str">
        <x:v>There is a mild knee effusion. Normal medial and lateral menisci. No evidence of tears.  ACL is ruptured in its mid substance. There is mild residual bone contusion in the weightbearing aspect of the lateral femoral condyle and posterior aspect of the lateral tibial condyle. Mild anterior translation of the lateral tibial plateau is seen in relation to femur.  Normal PCL, MCL and LCL. Normal extensor mechanism.  The tibiofemoral and patellofemoral articular cartilage is normal. Normal visualized remaining bones and surrounding soft tissues.  Conclusion: ACL rupture.</x:v>
      </x:c>
      <x:c r="C25" s="144" t="str">
        <x:v>1</x:v>
      </x:c>
      <x:c r="D25" s="144" t="str">
        <x:v>0</x:v>
      </x:c>
      <x:c r="E25" s="144" t="str">
        <x:v>0</x:v>
      </x:c>
      <x:c r="F25" s="144" t="str">
        <x:v>0</x:v>
      </x:c>
      <x:c r="G25" s="144" t="str">
        <x:v>0</x:v>
      </x:c>
      <x:c r="H25" s="144" t="str">
        <x:v>0</x:v>
      </x:c>
      <x:c r="I25" s="144" t="str">
        <x:v>0</x:v>
      </x:c>
      <x:c r="J25" s="144" t="str">
        <x:v>0</x:v>
      </x:c>
      <x:c r="K25" s="144" t="str">
        <x:v>0</x:v>
      </x:c>
      <x:c r="L25" s="144" t="str">
        <x:v>0</x:v>
      </x:c>
      <x:c r="M25" s="144" t="str">
        <x:v>1</x:v>
      </x:c>
      <x:c r="N25" s="144" t="str">
        <x:v>0</x:v>
      </x:c>
    </x:row>
    <x:row r="26" ht="110" customHeight="1">
      <x:c r="A26" s="142" t="str">
        <x:v>1.2.826.0.1.3680043.8.498.27437263843446879932281897446100134924</x:v>
      </x:c>
      <x:c r="B26" s="143" t="str">
        <x:v>Technique: MRI of the knee. ACL normal.  MCL normal. Medial meniscus tear. Lateral meniscus normal.  Cartilages normal. No baker's cyst. No effusion. Conclusion: Medial meniscus tear.</x:v>
      </x:c>
      <x:c r="C26" s="144" t="str">
        <x:v>0</x:v>
      </x:c>
      <x:c r="D26" s="144" t="str">
        <x:v>0</x:v>
      </x:c>
      <x:c r="E26" s="144" t="str">
        <x:v>1</x:v>
      </x:c>
      <x:c r="F26" s="144" t="str">
        <x:v>0</x:v>
      </x:c>
      <x:c r="G26" s="144" t="str">
        <x:v>0</x:v>
      </x:c>
      <x:c r="H26" s="144" t="str">
        <x:v>0</x:v>
      </x:c>
      <x:c r="I26" s="144" t="str">
        <x:v>0</x:v>
      </x:c>
      <x:c r="J26" s="144" t="str">
        <x:v>0</x:v>
      </x:c>
      <x:c r="K26" s="144" t="str">
        <x:v>0</x:v>
      </x:c>
      <x:c r="L26" s="144" t="str">
        <x:v>0</x:v>
      </x:c>
      <x:c r="M26" s="144" t="str">
        <x:v>0</x:v>
      </x:c>
      <x:c r="N26" s="144" t="str">
        <x:v>0</x:v>
      </x:c>
    </x:row>
    <x:row r="27" ht="110" customHeight="1">
      <x:c r="A27" s="142" t="str">
        <x:v>1.2.826.0.1.3680043.8.498.28925345859498351203477642741908452608</x:v>
      </x:c>
      <x:c r="B27" s="143" t="str">
        <x:v>SAĞ DİZ MRG. Tetkik protokolü: Çok düzlemli, çok sekanslı. Bulgular: Lateral menisküs normal. Medial menisküs ekstrüde görünümde olup posterior hornunda yırtık ile uyumlu sinyal değişiklikleri mevcuttur. Arka çapraz bağ, çm çapraz bağ , lateral ve medial kollateral ligaman normaldir.Medial kollateral ligaman çevresinde sıvı artışı izlenmiştir. Distal kuadriseps ve patellar tendonlar normaldir. Patella normal yerleşimlidir. Retinaküler devamsızlık yoktur.Suprapatellar bursada sıvı artışı izlenmiştir. Tibia proksimali ve femur distal epikondil seviyesi medialde kemik iliği ödemi ile uyumlu görünümler mevcuttur. Bu düzeyde eklem aralığı belirgin daralmıştır.Popliteal fossada 54x15 mm çapta Baker kisti ile uyumlu görünüm mevcuttur. </x:v>
      </x:c>
      <x:c r="C27" s="144" t="str">
        <x:v>0</x:v>
      </x:c>
      <x:c r="D27" s="144" t="str">
        <x:v>0</x:v>
      </x:c>
      <x:c r="E27" s="144" t="str">
        <x:v>1</x:v>
      </x:c>
      <x:c r="F27" s="144" t="str">
        <x:v>1</x:v>
      </x:c>
      <x:c r="G27" s="144" t="str">
        <x:v>1</x:v>
      </x:c>
      <x:c r="H27" s="144" t="str">
        <x:v>0</x:v>
      </x:c>
      <x:c r="I27" s="144" t="str">
        <x:v>1</x:v>
      </x:c>
      <x:c r="J27" s="144" t="str">
        <x:v>0</x:v>
      </x:c>
      <x:c r="K27" s="144" t="str">
        <x:v>0</x:v>
      </x:c>
      <x:c r="L27" s="144" t="str">
        <x:v>1</x:v>
      </x:c>
      <x:c r="M27" s="144" t="str">
        <x:v>0</x:v>
      </x:c>
      <x:c r="N27" s="144" t="str">
        <x:v>0</x:v>
      </x:c>
    </x:row>
    <x:row r="28" ht="110" customHeight="1">
      <x:c r="A28" s="142" t="str">
        <x:v>1.2.826.0.1.3680043.8.498.29764868091238287072166823522853419550</x:v>
      </x:c>
      <x:c r="B28" s="143" t="str">
        <x:v>No evidence of knee effusion. Normal medial and lateral menisci. No evidence of tears.  ACL is ruptured. There is mild anterior translation of the lateral tibial plateau in relation to femur.  Normal PCL, MCL and LCL. Normal extensor mechanism.  The tibiofemoral and patellofemoral articular cartilage is normal. A bone contusion is noted in the posterolateral corner of the lateral tibial plateau.  
Conclusion: Mild effusion. ACL rupture. Posterolateral tibial contusion.</x:v>
      </x:c>
      <x:c r="C28" s="144" t="str">
        <x:v>1</x:v>
      </x:c>
      <x:c r="D28" s="144" t="str">
        <x:v>0</x:v>
      </x:c>
      <x:c r="E28" s="144" t="str">
        <x:v>0</x:v>
      </x:c>
      <x:c r="F28" s="144" t="str">
        <x:v>0</x:v>
      </x:c>
      <x:c r="G28" s="144" t="str">
        <x:v>0</x:v>
      </x:c>
      <x:c r="H28" s="144" t="str">
        <x:v>0</x:v>
      </x:c>
      <x:c r="I28" s="144" t="str">
        <x:v>0</x:v>
      </x:c>
      <x:c r="J28" s="144" t="str">
        <x:v>0</x:v>
      </x:c>
      <x:c r="K28" s="144" t="str">
        <x:v>0</x:v>
      </x:c>
      <x:c r="L28" s="144" t="str">
        <x:v>0</x:v>
      </x:c>
      <x:c r="M28" s="144" t="str">
        <x:v>1</x:v>
      </x:c>
      <x:c r="N28" s="144" t="str">
        <x:v>1</x:v>
      </x:c>
    </x:row>
    <x:row r="29" ht="110" customHeight="1">
      <x:c r="A29" s="142" t="str">
        <x:v>1.2.826.0.1.3680043.8.498.30246079718471552972130572444383079911</x:v>
      </x:c>
      <x:c r="B29" s="143" t="str">
        <x:v>SAĞ DİZ MRG. Tetkik protokolü: Çok düzlemli, çok sekanslı. Bulgular: Medial menisküste grade II dejenerasyon, radial yırtık ile uyumlu görünüm mevcuttur. Lateral menisküste grade II dejenerasyon, kova sapı yırtığı ile uyumlu görünüm mevcuttur. Arka çaprazda fokal sinyal artışları mevcuttur. Ön çapraz bağ devamlılığı seçilememiştir (komplet yırtık). Lateral ve medial kollateral ligamanlar çevresinde hafif ödematöz görünüm (grade I sprain) izlenmiştir. Distal kuadriseps ve patellar tendon normaldir. Retinaküler devamsızlık yoktur. Patella normal yerleşimlidir.İnfrapatellar yağ yastıkçığında ödematöz görünüm izlenmiştir.Suprapatellar bursada ve diz eklemi içerisinde yaygın sıvı artışı izlenmiştir. Femur lateral kondil ve tibia lateral plato seviyesinde yaygın kontüzyonel kemik iliği ödemleri izlenmiştir. Ayrıca fibula baş düzeyinde subkondral ve patellar kemik medullada kemik iliği ödemleri izlendi.</x:v>
      </x:c>
      <x:c r="C29" s="144" t="str">
        <x:v>1</x:v>
      </x:c>
      <x:c r="D29" s="144" t="str">
        <x:v>0</x:v>
      </x:c>
      <x:c r="E29" s="144" t="str">
        <x:v>1</x:v>
      </x:c>
      <x:c r="F29" s="144" t="str">
        <x:v>1</x:v>
      </x:c>
      <x:c r="G29" s="144" t="str">
        <x:v>0</x:v>
      </x:c>
      <x:c r="H29" s="144" t="str">
        <x:v>0</x:v>
      </x:c>
      <x:c r="I29" s="144" t="str">
        <x:v>0</x:v>
      </x:c>
      <x:c r="J29" s="144" t="str">
        <x:v>1</x:v>
      </x:c>
      <x:c r="K29" s="144" t="str">
        <x:v>1</x:v>
      </x:c>
      <x:c r="L29" s="144" t="str">
        <x:v>0</x:v>
      </x:c>
      <x:c r="M29" s="144" t="str">
        <x:v>1</x:v>
      </x:c>
      <x:c r="N29" s="144" t="str">
        <x:v>1</x:v>
      </x:c>
    </x:row>
    <x:row r="30" ht="110" customHeight="1">
      <x:c r="A30" s="142" t="str">
        <x:v>1.2.826.0.1.3680043.8.498.32321830776739689645700555055955725945</x:v>
      </x:c>
      <x:c r="B30" s="143" t="str">
        <x:v>ΜΑΓΝΗΤΙΚΗ ΤΟΜΟΓΡΑΦΙΑ ∆ΕΞΙΟΥ ΓΟΝΑΤΟΣ Τεχνική: Η εξέταση έγινε µε ακολουθίες παλµών Τ1, PD fs και Τ2*. Ευρήµατα: - Εκτεταµένο οίδηµα του οστικού µυελού στην εγγύς µετάφυση/επίφυση της κνήµης παριστά οστικό µώλωπα στο πλαίσιο της αναφερόµενης κάκωσης. - Οιδηµατώδης απεικόνιση του πρόσθιου χιαστού συνδέσµου µε ασυνέχεια των ινών του στο πλαίσιο υφολικής (σχεδόν πλήρους) ρήξης. - Οιδηµατώδης απεικόνιση και ασυνέχεια στην εγγύς µοίρα του έσω πλαγίου συνδέσµου µε παρουσία οιδήµατος πέριξ στο πλαίσιο µερικής ρήξης (grade 2). - Ικανή ποσότητα ενθαρθρικής συλλογής υγρού. - Συλλογή υγρού προεπιγονατιδικά στο πλαίσιο προεπιγονατιδικής ορογονοθυλακίτιδας. - Εκφύλιση παρατηρείται στο οπίσθιο κέρας του έσω µηνίσκου. - Λέπτυνση και ανωµαλία παρυφής του αρθρικού χόνδρου ιδίως στο έσω µεσάρθριο και στον έσω αρθρικό χόνδρο της επιγονατίδας στο πλαίσιο αρχόµενης οστεοαρθρίτιδας. - Από τον έλεγχο του εκτατικού µηχανισµού και του λοιπού αρθρικού χόνδρου δεν παρατηρούνται αξιόλογα ευρήµατα. </x:v>
      </x:c>
      <x:c r="C30" s="144" t="str">
        <x:v>1</x:v>
      </x:c>
      <x:c r="D30" s="144" t="str">
        <x:v>1</x:v>
      </x:c>
      <x:c r="E30" s="144" t="str">
        <x:v>0</x:v>
      </x:c>
      <x:c r="F30" s="144" t="str">
        <x:v>0</x:v>
      </x:c>
      <x:c r="G30" s="144" t="str">
        <x:v>0</x:v>
      </x:c>
      <x:c r="H30" s="144" t="str">
        <x:v>0</x:v>
      </x:c>
      <x:c r="I30" s="144" t="str">
        <x:v>1</x:v>
      </x:c>
      <x:c r="J30" s="144" t="str">
        <x:v>1</x:v>
      </x:c>
      <x:c r="K30" s="144" t="str">
        <x:v>1</x:v>
      </x:c>
      <x:c r="L30" s="144" t="str">
        <x:v>0</x:v>
      </x:c>
      <x:c r="M30" s="144" t="str">
        <x:v>1</x:v>
      </x:c>
      <x:c r="N30" s="144" t="str">
        <x:v>1</x:v>
      </x:c>
    </x:row>
    <x:row r="31" ht="110" customHeight="1">
      <x:c r="A31" s="142" t="str">
        <x:v>1.2.826.0.1.3680043.8.498.37040910196459054543310335064167212742</x:v>
      </x:c>
      <x:c r="B31" s="143" t="str">
        <x:v>MRI of Knee with 
-3-Plane Loc, Sag PD FS, Sag T2 FS, Sag T1, Cor T2 FS, Screen Save, Ax T2 FS
* The contour of ACL is not in a straight line and increased signal intensity inside on F/S T2WI, in favor of tear.
* High signal in the soft tissue medial to the medial collateral ligament with increased signal intensity of proximal ligament (deep MCL/meniscofemoral ligament), in favor of grade 2 injury.
* High signal in the soft tissue surrounding the medial and lateral patellar retinaculum, in favor of grade 1 injury.
* Linear signal intensity in the body and posterior horn of medial meniscus with extension to the surface, in favor of tear.
* There is a gap in the posterior horn of lateral meniscus near the posterior root (Sr/Im: [ID]; [ID].
* Bone marrow edema in distal femur, proximal tibia and fibula, and lower pole of patella, suspect bone contusion.
    A subchondral linear hypointensity over posterior aspect of medial tibial plateau on T1WI and F/S T2WI, without associated contour deformity (Sr/Im: [ID]; [ID].
* Joint effusion and suprapatellar bursitis with suprapatellar and medial plicae; hypertrophy of the synovium, indicative of synovitis.
* Irregular contour of the posterior joint capsule with interstitial high signal intensity, suspect joint capsular injury/tear.
* Subcutaneous edema in distal thigh to proximal leg and intermuscular edema in the popliteal fossa.
Impression:
1. ACL tear.
2. Grade 2 injury of MCL (especially at the deep MCL/meniscofemoral ligament). 
     Suspect grade 1 injury of medial and lateral patellar retinaculum.
3. Meniscal tear in the body and posterior horn of medial meniscus; suspect posterior root tear of lateral meniscus.
4. Bone contusion in distal femur, proximal tibia and fibula, and lower pole of patella.
     Subchondral fracture over posterior aspect of medial tibial plateau (Sr/Im: [ID]; [ID].
5. Synovitis of left knee with suprapatellar bursitis and patellar plicae.
6. Irregular contour of the posterior joint capsule, suspect joint capsular injury/tear.
7. Subcutaneous edema in distal thigh to proximal leg and intermuscular edema in the popliteal fossa.
Suggest correlated with clinical manifestation and further management.
</x:v>
      </x:c>
      <x:c r="C31" s="144" t="str">
        <x:v>1</x:v>
      </x:c>
      <x:c r="D31" s="144" t="str">
        <x:v>0</x:v>
      </x:c>
      <x:c r="E31" s="144" t="str">
        <x:v>1</x:v>
      </x:c>
      <x:c r="F31" s="144" t="str">
        <x:v>1</x:v>
      </x:c>
      <x:c r="G31" s="144" t="str">
        <x:v>0</x:v>
      </x:c>
      <x:c r="H31" s="144" t="str">
        <x:v>0</x:v>
      </x:c>
      <x:c r="I31" s="144" t="str">
        <x:v>0</x:v>
      </x:c>
      <x:c r="J31" s="144" t="str">
        <x:v>1</x:v>
      </x:c>
      <x:c r="K31" s="144" t="str">
        <x:v>1</x:v>
      </x:c>
      <x:c r="L31" s="144" t="str">
        <x:v>0</x:v>
      </x:c>
      <x:c r="M31" s="144" t="str">
        <x:v>1</x:v>
      </x:c>
      <x:c r="N31" s="144" t="str">
        <x:v>1</x:v>
      </x:c>
    </x:row>
    <x:row r="32" ht="110" customHeight="1">
      <x:c r="A32" s="142" t="str">
        <x:v>1.2.826.0.1.3680043.8.498.37392127307867238524251864751713143683</x:v>
      </x:c>
      <x:c r="B32" s="143" t="str">
        <x:v>Patella alta (Insall-Salvati omjer 1,5), Wiberg tip III.
Iregularna, blago udubljena medijalna kontura patele u području apeksa, moguće u sklopu
impresijske frakture. Opsežan okolni koštani edem.
U području lateralnog kondila femura anteriorno od hvatišta tetive m. popliteus nalazi se
također udubljena kontura kosti na arealu oko 9 mm u promjeru, opisano može odgovarati
impresijskoj frakturi. Opsežan okolni koštani edem.
Zadebljanje i edem medijalnog patelarnog retinakuluma uz prekid kontinuiteta vlakana u
središnjem dijelu u sklopu rupture. Manja količina izljeva suprapatelarno i u medijalnom recesusu
uz naglašeniji suprapatelarni masni jastučić.
Opisane promjene najvjerojatnije posljedično lateralnoj dislokaciji patele.
Manja inzula kompakte u lateralnom kondilu femura i tibije.
Hondromalacične promjene 1. stupnja hrskavice medijalne fasete patele.
Lateralni patelarni retinakulum održan.
Početne entezopatske promjene hvatišta tetive m. quadriceps te patelarnog hvatišta
patelarnog ligamenta.
Kompletna suprapatelarna plika.
Prednji križni ligament je nešto viših intenziteta signala pri tibijalnom hvatištu, moguće stanje
nakon distenzije ili manje parcijalne rupture.
Stražnji križni ligament je primjerenih intenziteta signala, održanog kontinuiteta.
Linearni hiperintenzitet crvene zone stražnjeg roga medijalnog meniska koji može odgovarati
vaskularnoj strukturi, bez evidentne rupture.
Lateralni menisk je primjerenih intenziteta signala, bez znakova rupture.
Medijalni kolateralni ligament je primjerenih intenziteta signala, održanog kontinuiteta.
Entezopatske promjene proksimalnog hvatišta lateralnog kolateralnog ligamenta.
Entezopatske promjene i manji burzitis tetive m. popliteus.
Primjeren izgled iliotibijalnog trakta i pes anserinus.
Baker cista veličine oko 22x12x27 mm (APxLLxCC).</x:v>
      </x:c>
      <x:c r="C32" s="144" t="str">
        <x:v>0</x:v>
      </x:c>
      <x:c r="D32" s="144" t="str">
        <x:v>0</x:v>
      </x:c>
      <x:c r="E32" s="144" t="str">
        <x:v>0</x:v>
      </x:c>
      <x:c r="F32" s="144" t="str">
        <x:v>0</x:v>
      </x:c>
      <x:c r="G32" s="144" t="str">
        <x:v>0</x:v>
      </x:c>
      <x:c r="H32" s="144" t="str">
        <x:v>0</x:v>
      </x:c>
      <x:c r="I32" s="144" t="str">
        <x:v>0</x:v>
      </x:c>
      <x:c r="J32" s="144" t="str">
        <x:v>0</x:v>
      </x:c>
      <x:c r="K32" s="144" t="str">
        <x:v>0</x:v>
      </x:c>
      <x:c r="L32" s="144" t="str">
        <x:v>0</x:v>
      </x:c>
      <x:c r="M32" s="144" t="str">
        <x:v>1</x:v>
      </x:c>
      <x:c r="N32" s="144" t="str">
        <x:v>1</x:v>
      </x:c>
    </x:row>
    <x:row r="33" ht="110" customHeight="1">
      <x:c r="A33" s="142" t="str">
        <x:v>1.2.826.0.1.3680043.8.498.39500553372517290823815606829518305500</x:v>
      </x:c>
      <x:c r="B33" s="143" t="str">
        <x:v>Antecedentes Clínicos:
Artrosis.
Hallazgos:
Ligamentos cruzados y colaterales dentro de límites normales.
El menisco medial es de morfología y señal conservada, sin criterios categóricos de rotura.
Rotura compleja degenerativa del cuerno anterior, cuerpo, cuerno posterior y parte de la raíz
meniscal posterior del menisco lateral con extrusión asociada. Edema óseo periférico posterior de
platillo tibial lateral con pequeñas fracturas subcorticales regionales.
Úlceras condrales de espesor parcial y total de la región posterior de carga del compartimento
femorotibial lateral. Mínimos cambios óseos asociados. Condropatía superficial del compartimento
femorotibial medial y del cartílago troclear.
Úlceras condrales de espesor parcial y prácticamente total de la faceta lateral de la rótula.
Leve a moderado derrame articular con mínima sinovitis. No hay quistes poplíteos patológicos.
Tendones cuadricipital, rotuliano, tendones de la pata de ganso, bíceps femoral y banda iliotibial
dentro de límites normales.
Impresión:
Rotura compleja degenerativa del cuerno anterior, cuerpo , cuerno posterior y raíz meniscal
posterior del menisco lateral con extrusión asociada.
Condropatía lesiones grado 3 y 4 del compartimento femorotibial lateral.
Condropatía superficial del compartimento femorotibial medial y de la tróclea femoral. Condropatía
lesiones grado dos y tres de la rótula.
Leve a moderado derrame articular con mínima sinovitis</x:v>
      </x:c>
      <x:c r="C33" s="144" t="str">
        <x:v>0</x:v>
      </x:c>
      <x:c r="D33" s="144" t="str">
        <x:v>0</x:v>
      </x:c>
      <x:c r="E33" s="144" t="str">
        <x:v>0</x:v>
      </x:c>
      <x:c r="F33" s="144" t="str">
        <x:v>1</x:v>
      </x:c>
      <x:c r="G33" s="144" t="str">
        <x:v>0</x:v>
      </x:c>
      <x:c r="H33" s="144" t="str">
        <x:v>1</x:v>
      </x:c>
      <x:c r="I33" s="144" t="str">
        <x:v>1</x:v>
      </x:c>
      <x:c r="J33" s="144" t="str">
        <x:v>1</x:v>
      </x:c>
      <x:c r="K33" s="144" t="str">
        <x:v>1</x:v>
      </x:c>
      <x:c r="L33" s="144" t="str">
        <x:v>0</x:v>
      </x:c>
      <x:c r="M33" s="144" t="str">
        <x:v>0</x:v>
      </x:c>
      <x:c r="N33" s="144" t="str">
        <x:v>0</x:v>
      </x:c>
    </x:row>
    <x:row r="34" ht="110" customHeight="1">
      <x:c r="A34" s="142" t="str">
        <x:v>1.2.826.0.1.3680043.8.498.41600498783384864111179175518614837125</x:v>
      </x:c>
      <x:c r="B34" s="143" t="str">
        <x:v> In the medial compartment, there is buckethandle tear at the anterior horn, body and posterior horn of the medial meniscus. There is displaced meniscal fragment into the intercondylar notch. There is no focal chondrosis or chondral injury. 
 The lateral compartment, there is suspicious small longitudinal vertical tear at the periphery posterior horn of the lateral meniscus. There is focal osteochondral injury a mid weightbaring lateral femoral condyle (about intact6* 1 cm).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no anterior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Minimal amount of right knee effusion is 1. The surrounding musculature is normal. There is bone contusion at the posterolateral tibial plateau.  Acute osteochondral injury a mid weightbaring lateral femoral condyle (about intact6* 1 cm) of right knee. 
  Buckethandle tear of the medial meniscus. 
  Suspicious small longitudinal vertical tear at the periphery posterior horn of the lateral meniscus. 
  Acute complete tear of the anterior cruciate ligament, at mid substance. 
  Grade II ligamentous sprain (partial tear) of the medial collateral ligament, at mid substance (deep and superficial fibers). 
  Minimal amount of right knee effusion. 
  Bone contusion at the posterolateral tibial plateau.</x:v>
      </x:c>
      <x:c r="C34" s="144" t="str">
        <x:v>1</x:v>
      </x:c>
      <x:c r="D34" s="144" t="str">
        <x:v>0</x:v>
      </x:c>
      <x:c r="E34" s="144" t="str">
        <x:v>1</x:v>
      </x:c>
      <x:c r="F34" s="144" t="str">
        <x:v>0</x:v>
      </x:c>
      <x:c r="G34" s="144" t="str">
        <x:v>0</x:v>
      </x:c>
      <x:c r="H34" s="144" t="str">
        <x:v>0</x:v>
      </x:c>
      <x:c r="I34" s="144" t="str">
        <x:v>0</x:v>
      </x:c>
      <x:c r="J34" s="144" t="str">
        <x:v>0</x:v>
      </x:c>
      <x:c r="K34" s="144" t="str">
        <x:v>0</x:v>
      </x:c>
      <x:c r="L34" s="144" t="str">
        <x:v>0</x:v>
      </x:c>
      <x:c r="M34" s="144" t="str">
        <x:v>1</x:v>
      </x:c>
      <x:c r="N34" s="144" t="str">
        <x:v>0</x:v>
      </x:c>
    </x:row>
    <x:row r="35" ht="110" customHeight="1">
      <x:c r="A35" s="142" t="str">
        <x:v>1.2.826.0.1.3680043.8.498.47921753480592595198052407850568677187</x:v>
      </x:c>
      <x:c r="B35" s="143" t="str">
        <x:v>SOL DİZ MRG. Tetkik protokolü: Çok düzlemli, çok sekanslı. Bulgular: Medial menisküs posterior hornda grade III dejenerasyon ve horizontal yırtık izlendi. Medial menisküs mediale doğru ekstrude görünümdedir. Lateral menisküste grade I dejenerasyon izlendi. Ön çapraz bağda diffüz sinyal artışı izlendi(miksoid dejenerasyon). Arka çapraz bağda yer yer sinyal artışları izlendi(grade I sprain). Lateral kollateral ligaman normaldir.Medial kollateral ligamen  çevresinde ödematöz görünüm mevcuttur ( grade I sprain ).Suprapatellar bursada ,diz eklemi içerisinde yaygın sıvı artışı izlendi. Femur medial kondil  tibiofemoral eklem yüzüne bakan  düzeyde subartiküler fraktür hattı ve komşu kemikte yaygın ödem izlendi. Bu düzeyde eklem aralığı daralmıştır. Arka çapraz bağ tibia yapışma düzeyinde subkondrial milimetrik kistler izlendi.Diz eklemi prepatellar düzeyde cilt altı yağlı dokuda ödematöz görünüm mevcuttur. </x:v>
      </x:c>
      <x:c r="C35" s="144" t="str">
        <x:v>0</x:v>
      </x:c>
      <x:c r="D35" s="144" t="str">
        <x:v>0</x:v>
      </x:c>
      <x:c r="E35" s="144" t="str">
        <x:v>1</x:v>
      </x:c>
      <x:c r="F35" s="144" t="str">
        <x:v>0</x:v>
      </x:c>
      <x:c r="G35" s="144" t="str">
        <x:v>0</x:v>
      </x:c>
      <x:c r="H35" s="144" t="str">
        <x:v>0</x:v>
      </x:c>
      <x:c r="I35" s="144" t="str">
        <x:v>0</x:v>
      </x:c>
      <x:c r="J35" s="144" t="str">
        <x:v>1</x:v>
      </x:c>
      <x:c r="K35" s="144" t="str">
        <x:v>1</x:v>
      </x:c>
      <x:c r="L35" s="144" t="str">
        <x:v>0</x:v>
      </x:c>
      <x:c r="M35" s="144" t="str">
        <x:v>0</x:v>
      </x:c>
      <x:c r="N35" s="144" t="str">
        <x:v>1</x:v>
      </x:c>
    </x:row>
    <x:row r="36" ht="110" customHeight="1">
      <x:c r="A36" s="142" t="str">
        <x:v>1.2.826.0.1.3680043.8.498.48348615349418615469875801439348424274</x:v>
      </x:c>
      <x:c r="B36" s="143" t="str">
        <x:v>Antecedentes Clínicos:
Esguince del ligamento colateral medial.
Hallazgos:
No hay alteraciones de señal significativas de la médula ósea.
Engrosamiento y aumento de señal con pérdida parcial de la continuidad del tercio medio proximal
del componente superficial del ligamento colateral medial con edema de las partes blandas
adyacentes. El resto de los componentes del complejo medial dentro de límites normales.
El menisco lateral es de morfología y señal conservada, sin signos de rotura. Menisco medial de
morfología conservada, con aumento de señal del meniscocapsular a su cuerno posterior.
Cartílagos de los compartimentos femorotibiales y patelofemorales sin alteraciones.
Leve derrame articular. Pequeño quiste poplíteo, sin signos de complicación.
Cambios entesopáticos cuadricipitales distales. Tendón rotuliano, tendones de la pata de ganso,
bíceps femoral y banda iliotibial dentro de límites normales.
Impresión:
Signos de un esguince grado II del componente superficial del ligamento colateral medial.
Signos de aumento de señal meniscocapsular del cuerno posterior del menisco medial que podría
representar una lesión parcial regional.
Leve derrame articular. Pequeño quiste poplíteo.
Cambios entesopáticos cuadricipitales distales</x:v>
      </x:c>
      <x:c r="C36" s="144" t="str">
        <x:v>0</x:v>
      </x:c>
      <x:c r="D36" s="144" t="str">
        <x:v>1</x:v>
      </x:c>
      <x:c r="E36" s="144" t="str">
        <x:v>0</x:v>
      </x:c>
      <x:c r="F36" s="144" t="str">
        <x:v>0</x:v>
      </x:c>
      <x:c r="G36" s="144" t="str">
        <x:v>0</x:v>
      </x:c>
      <x:c r="H36" s="144" t="str">
        <x:v>0</x:v>
      </x:c>
      <x:c r="I36" s="144" t="str">
        <x:v>0</x:v>
      </x:c>
      <x:c r="J36" s="144" t="str">
        <x:v>0</x:v>
      </x:c>
      <x:c r="K36" s="144" t="str">
        <x:v>0</x:v>
      </x:c>
      <x:c r="L36" s="144" t="str">
        <x:v>0</x:v>
      </x:c>
      <x:c r="M36" s="144" t="str">
        <x:v>0</x:v>
      </x:c>
      <x:c r="N36" s="144" t="str">
        <x:v>0</x:v>
      </x:c>
    </x:row>
    <x:row r="37" ht="110" customHeight="1">
      <x:c r="A37" s="142" t="str">
        <x:v>1.2.826.0.1.3680043.8.498.48946580946665031852355005294734101132</x:v>
      </x:c>
      <x:c r="B37" s="143" t="str">
        <x:v>COMPARISON:None.
CLINICAL HISTORY:Left knee pain and swelling after fall. Medial joint line pain. Suspected bone contusion/meniscal tear.
PROCEDURE:Multisequence, multiplanar unenhanced MRI of the left knee according to routine protocol.
IMAGING FINDINGS:
Nondiagnostic scout localizing images reviewed.
The lateral meniscus is intact. The medial meniscus is intact.
High-grade partial-thickness tear involving the anterior cruciate ligament near the femoral attachment. No anterior tibial translation. Osteochondral impaction injury posterior lateral tibial plateau and posterior medial tibial plateau without evidence of displacement and osteophyte fragment. The posterior cruciate ligament is intact.
Low-grade partial-thickness tear involving the proximal fibers of the superficial and deep medial collateral ligament. The distal fibers are intact. The posterior oblique ligament is intact.
The fibular collateral ligament is intact. Popliteus and biceps femoris tendon attachments are intact. The iliotibial band is intact.
The patellar retinacula are intact. No femoral dysplasia. The TT-TG distance measures 12 minutes, within normal limits. The quadriceps and patellar tendons are intact.
Scattered foci of mild chondrosis throughout the patellofemoral compartment. Preserved medial and lateral femorotibial articular cartilage.
Small knee joint effusion. Regional musculature is within normal limits. No suspicious focal marrow signal alteration. 
IMPRESSION:
1. High-grade partial-thickness tear of the anterior cruciate ligament.
2. Low-grade partial tear of the medial collateral ligament.
3. Osteochondral impaction injuries posterior medial tibial plateau and posterior lateral tibial plateau without evidence of displaced or unstable osteochondral fragment.
4. Mild patellofemoral chondrosis.
5. Intact menisci.</x:v>
      </x:c>
      <x:c r="C37" s="144" t="str">
        <x:v>1</x:v>
      </x:c>
      <x:c r="D37" s="144" t="str">
        <x:v>0</x:v>
      </x:c>
      <x:c r="E37" s="144" t="str">
        <x:v>0</x:v>
      </x:c>
      <x:c r="F37" s="144" t="str">
        <x:v>0</x:v>
      </x:c>
      <x:c r="G37" s="144" t="str">
        <x:v>0</x:v>
      </x:c>
      <x:c r="H37" s="144" t="str">
        <x:v>0</x:v>
      </x:c>
      <x:c r="I37" s="144" t="str">
        <x:v>0</x:v>
      </x:c>
      <x:c r="J37" s="144" t="str">
        <x:v>1</x:v>
      </x:c>
      <x:c r="K37" s="144" t="str">
        <x:v>0</x:v>
      </x:c>
      <x:c r="L37" s="144" t="str">
        <x:v>0</x:v>
      </x:c>
      <x:c r="M37" s="144" t="str">
        <x:v>1</x:v>
      </x:c>
      <x:c r="N37" s="144" t="str">
        <x:v>0</x:v>
      </x:c>
    </x:row>
    <x:row r="38" ht="110" customHeight="1">
      <x:c r="A38" s="142" t="str">
        <x:v>1.2.826.0.1.3680043.8.498.54977581323931277817074741182670080450</x:v>
      </x:c>
      <x:c r="B38" s="143" t="str">
        <x:v>Antecedentes Clínicos:
Artrosis.
Hallazgos:
No hay alteraciones en significativas de la médula ósea.
Ligamentos cruzados y colaterales dentro de límites normales.
Aumento de señal central del cuerno posterior y cuerpo del menisco medial que no impresiona
contactar con la superficie articular, sin caracteres propios de rotura.
Rotura del cuerno anterior, cuerpo y parte del cuerno posterior del menisco lateral con edema las
partes blandas perimeniscal es, quistes para meniscales y moderada extrusión meniscal.
Úlceras condrales de espesor parcial y prácticamente total de la zona de carga del compartimento
femorotibial lateral. Cartílagos del compartimento femorotibial medial y de la tróclea femoral sin
alteraciones. Condropatía rotuliana superficial la faceta lateral.
Leve derrame articular con mínima sinovitis.
Tendones cuadricipital, rotuliano, tendones de la pata de ganso, bíceps femoral y banda iliotibial
dentro de límites normales.
Impresión:
Rotura compleja del menisco lateral con extrusión asociada de quistes para meniscales.
Condropatía lesiones grado 2 y 3 de la zona de carga del compartimento femorotibial lateral.
Condropatía rotuliana superficial.
Leve derrame articular con mínima sinovitis</x:v>
      </x:c>
      <x:c r="C38" s="144" t="str">
        <x:v>0</x:v>
      </x:c>
      <x:c r="D38" s="144" t="str">
        <x:v>0</x:v>
      </x:c>
      <x:c r="E38" s="144" t="str">
        <x:v>0</x:v>
      </x:c>
      <x:c r="F38" s="144" t="str">
        <x:v>1</x:v>
      </x:c>
      <x:c r="G38" s="144" t="str">
        <x:v>0</x:v>
      </x:c>
      <x:c r="H38" s="144" t="str">
        <x:v>0</x:v>
      </x:c>
      <x:c r="I38" s="144" t="str">
        <x:v>0</x:v>
      </x:c>
      <x:c r="J38" s="144" t="str">
        <x:v>0</x:v>
      </x:c>
      <x:c r="K38" s="144" t="str">
        <x:v>0</x:v>
      </x:c>
      <x:c r="L38" s="144" t="str">
        <x:v>0</x:v>
      </x:c>
      <x:c r="M38" s="144" t="str">
        <x:v>0</x:v>
      </x:c>
      <x:c r="N38" s="144" t="str">
        <x:v>0</x:v>
      </x:c>
    </x:row>
    <x:row r="39" ht="110" customHeight="1">
      <x:c r="A39" s="142" t="str">
        <x:v>1.2.826.0.1.3680043.8.498.56512564464301544960446419143135447363</x:v>
      </x:c>
      <x:c r="B39" s="143" t="str">
        <x:v>Technique: MRI of the knee. ACL normal. MCL normal. Medial meniscus mucoid degeneration. Lateral meniscus normal. OA of medial compartment. No baker's cyst. Effusion with synovitis. Conclusion: OA of medial compartment. Effusion with synovitis.</x:v>
      </x:c>
      <x:c r="C39" s="144" t="str">
        <x:v>0</x:v>
      </x:c>
      <x:c r="D39" s="144" t="str">
        <x:v>0</x:v>
      </x:c>
      <x:c r="E39" s="144" t="str">
        <x:v>0</x:v>
      </x:c>
      <x:c r="F39" s="144" t="str">
        <x:v>0</x:v>
      </x:c>
      <x:c r="G39" s="144" t="str">
        <x:v>1</x:v>
      </x:c>
      <x:c r="H39" s="144" t="str">
        <x:v>0</x:v>
      </x:c>
      <x:c r="I39" s="144" t="str">
        <x:v>1</x:v>
      </x:c>
      <x:c r="J39" s="144" t="str">
        <x:v>1</x:v>
      </x:c>
      <x:c r="K39" s="144" t="str">
        <x:v>1</x:v>
      </x:c>
      <x:c r="L39" s="144" t="str">
        <x:v>0</x:v>
      </x:c>
      <x:c r="M39" s="144" t="str">
        <x:v>0</x:v>
      </x:c>
      <x:c r="N39" s="144" t="str">
        <x:v>0</x:v>
      </x:c>
    </x:row>
    <x:row r="40" ht="110" customHeight="1">
      <x:c r="A40" s="142" t="str">
        <x:v>1.2.826.0.1.3680043.8.498.59483999067816153759785789654766826710</x:v>
      </x:c>
      <x:c r="B40" s="143" t="str">
        <x:v>МР находка: МР данни за фрактура в областта на латералното тибиално плато, без дислокация. Наличие на костно-мозъчен едем около фрактурата. Контузионен костно-мозъчен едем се визуализира и в латералния феморален кондил. МР данни за руптура на предната кръстна връзка. На топичното място на връзката се вижда зона на патологично променен сигнален интензитет, съответстваща на дезорганизирани съединително-тъканни влакна, оток и кръв. Хеморагичен излив в ставата. МР данни за MPFL лезия – скъсване на медиалния поплите-феморален лигамент. Скъсването на лигамента е на залавното му към фемура място. Задна кръстна връзка – без особености.  Менискуси – без особености. Ставният хрущял е интактен. Сухожилие на м.квадрицепс феморис и лигамент на пателата – нормално изобразяване. Оток на меките тъкани около коляното.
Заключение:  МР данни за фрактура без дислокация в областта на латералното тибиално плато. Скъсване на предната кръста връзка. MPFL лезия.  Ставен излив.</x:v>
      </x:c>
      <x:c r="C40" s="144" t="str">
        <x:v>1</x:v>
      </x:c>
      <x:c r="D40" s="144" t="str">
        <x:v>0</x:v>
      </x:c>
      <x:c r="E40" s="144" t="str">
        <x:v>0</x:v>
      </x:c>
      <x:c r="F40" s="144" t="str">
        <x:v>0</x:v>
      </x:c>
      <x:c r="G40" s="144" t="str">
        <x:v>0</x:v>
      </x:c>
      <x:c r="H40" s="144" t="str">
        <x:v>0</x:v>
      </x:c>
      <x:c r="I40" s="144" t="str">
        <x:v>0</x:v>
      </x:c>
      <x:c r="J40" s="144" t="str">
        <x:v>1</x:v>
      </x:c>
      <x:c r="K40" s="144" t="str">
        <x:v>1</x:v>
      </x:c>
      <x:c r="L40" s="144" t="str">
        <x:v>0</x:v>
      </x:c>
      <x:c r="M40" s="144" t="str">
        <x:v>1</x:v>
      </x:c>
      <x:c r="N40" s="144" t="str">
        <x:v>1</x:v>
      </x:c>
    </x:row>
    <x:row r="41" ht="110" customHeight="1">
      <x:c r="A41" s="142" t="str">
        <x:v>1.2.826.0.1.3680043.8.498.62465595376489211274225312453216559395</x:v>
      </x:c>
      <x:c r="B41" s="143" t="str">
        <x:v>MRI right knee
INDICATION: Assess ligamentous injury
There is a vertical tear in the periphery of the posterior horn of the medial meniscus. No lateral meniscal tear. Complete rupture of the ACL. Complete rupture of the PCL. Extensor mechanism intact. Complete rupture of the MCL at the level of the medial jointline. The proximal fibers are squiggly. IT band intact. High-grade partial tear of the proximal lateral collateral ligament. Mild sprain of the proximal popliteus tendon. Biceps femoris intact.
Small joint effusion. Circumferential soft tissue swelling and edema about the knee. Mild strain of the vastus lateralis. Mild prepatellar bursitis. 
Subchondral fracture in the lateral tibial plateau extending for an AP dimension of 2.7 cm with underlying bony edema. Findings are consistent with an osteochondral impaction fracture. Tiny bone bruise at the posterior aspect of the lateral tibial plateau. No fibular fracture. Medial compartment cartilage is intact. Slight chondrosis medial patella. No cartilage defects in the trochlea. Small congruent at the posterior aspect of the medial tibial plateau.
IMPRESSION:
Vertical tear posterior horn medial meniscus. No lateral meniscal tear.
Complete rupture ACL, PCL and mid fibers of the MCL.
High-grade partial tear proximal LCL. Sprain of proximal popliteus.
Hairline subchondral fracture lateral tibial plateau with diffuse underlying bony edema. Tiny bone bruise posterior aspect lateral tibial plateau. Small bone bruise posterior aspect medial tibial plateau.</x:v>
      </x:c>
      <x:c r="C41" s="144" t="str">
        <x:v>1</x:v>
      </x:c>
      <x:c r="D41" s="144" t="str">
        <x:v>1</x:v>
      </x:c>
      <x:c r="E41" s="144" t="str">
        <x:v>1</x:v>
      </x:c>
      <x:c r="F41" s="144" t="str">
        <x:v>0</x:v>
      </x:c>
      <x:c r="G41" s="144" t="str">
        <x:v>0</x:v>
      </x:c>
      <x:c r="H41" s="144" t="str">
        <x:v>1</x:v>
      </x:c>
      <x:c r="I41" s="144" t="str">
        <x:v>0</x:v>
      </x:c>
      <x:c r="J41" s="144" t="str">
        <x:v>1</x:v>
      </x:c>
      <x:c r="K41" s="144" t="str">
        <x:v>1</x:v>
      </x:c>
      <x:c r="L41" s="144" t="str">
        <x:v>0</x:v>
      </x:c>
      <x:c r="M41" s="144" t="str">
        <x:v>0</x:v>
      </x:c>
      <x:c r="N41" s="144" t="str">
        <x:v>1</x:v>
      </x:c>
    </x:row>
    <x:row r="42" ht="110" customHeight="1">
      <x:c r="A42" s="142" t="str">
        <x:v>1.2.826.0.1.3680043.8.498.62549354677638403845904556149868367236</x:v>
      </x:c>
      <x:c r="B42" s="143" t="str">
        <x:v>[DATE]: MR Knie Rechts 15ch AA: Klinische inlichtingen: Zie gescande aanvraag Diagnostische vraagstelling: Zie gescande aanvraag Bevindingen: Impactiefractuur op centraal dragende deel van de laterale femorale condylen, gepaard gaand met uitgebreid botoedeem . Minstens botcontusie, mogelijks kleine niet-verplaatste fractuur posterieur aspect laterale tibiaplateau. Volledige scheur van de voorste kruisband, onregelmatig voorkomend, discontinu, met uitgebreid infiltratie van de omliggende weefsels. Matige opzetting van suprapatellaire recessus. Licht verdikt voorkomen mediale collaterale ligament, proximaal, met vocht oppervlakkig en diep aan het mediale collaterale ligament. Normaal voorkomen menisci. Normaal voorkomen kraakbeen. Licht verdikt voorkom end proximale patellapees, met minimaal gestegen T2-signaal, met m inimale infiltratie van het Hoffa vetpad aanliggend. Besluit: Ernstige distorsio van de rechterknie met : - Volledige ruptuur van de voorste kruisband, - Parti ële scheur proximaal op het mediale collaterale ligament, graad 2. Kleine impactiefractuur centraal dragende deel van de laterale femorale condyl, geassocieer d. Matige tendinose/chronische tendinitis proximale patellapees .</x:v>
      </x:c>
      <x:c r="C42" s="144" t="str">
        <x:v>1</x:v>
      </x:c>
      <x:c r="D42" s="144" t="str">
        <x:v>1</x:v>
      </x:c>
      <x:c r="E42" s="144" t="str">
        <x:v>0</x:v>
      </x:c>
      <x:c r="F42" s="144" t="str">
        <x:v>1</x:v>
      </x:c>
      <x:c r="G42" s="144" t="str">
        <x:v>0</x:v>
      </x:c>
      <x:c r="H42" s="144" t="str">
        <x:v>0</x:v>
      </x:c>
      <x:c r="I42" s="144" t="str">
        <x:v>0</x:v>
      </x:c>
      <x:c r="J42" s="144" t="str">
        <x:v>1</x:v>
      </x:c>
      <x:c r="K42" s="144" t="str">
        <x:v>1</x:v>
      </x:c>
      <x:c r="L42" s="144" t="str">
        <x:v>0</x:v>
      </x:c>
      <x:c r="M42" s="144" t="str">
        <x:v>1</x:v>
      </x:c>
      <x:c r="N42" s="144" t="str">
        <x:v>0</x:v>
      </x:c>
    </x:row>
    <x:row r="43" ht="110" customHeight="1">
      <x:c r="A43" s="142" t="str">
        <x:v>1.2.826.0.1.3680043.8.498.64408609256163127278435484217683272910</x:v>
      </x:c>
      <x:c r="B43" s="143" t="str">
        <x:v>Koštani edem medijalnog kondila femura, anterionog dijela medijalnog kondila tibije te lateralnog
tubera interkondilarne eminencije tibije.
Obzirom erozivne promjene zglobne hrskavice medijalnog kompartmenta femorotibijalnog zgloba
opisano vjerojatno u sklopu OA promjena.
Prikaže se hondromalacija II° hrskavice lateralnog tibijalnog platoa te hondromalacija I°
lateralne fasete patele.
Prikazana zglobna tijela primjereno su uzglobljena.
Prednji križni ligament održanog kontinuiteta, umjereno do teško degenerativno promijenjen.
Stražnji križni ligament je primjerenih intenziteta signala i održanog kontinuiteta.
Degenerativno promijenjenmedijalni menisk, osobito u području trupa i stražnjeg roga gdje se
prati kompleksna ruptura s radijalnom i horizontalnom komponentom koja se pruža prema
femoralnoj plohi.
Lateralni menisk bez znakova rupture blaže degenerativno promijenjen u prednjem rogu i
prednjem korijenu.
Lateralni i medijalni kolateralni ligamenti su primjerenih intenziteta signala, održanog
kontinuiteta.
Burzitis tetive popliteusa.
Uredan prikaz iliotibijalnog trakta i pes anserinus.
Entezopatske promjene tetive kvadricepsa.
Patelarni ligament su primjerenih intenziteta signala, održanog kontinuiteta.
Inkompletna suprapatelarna plica.
Patelarni retinakulumi održani.
Manja količina izljeva u zglob.
Baker cista veličine 22x31x37 mm (apxllxcc).</x:v>
      </x:c>
      <x:c r="C43" s="144" t="str">
        <x:v>0</x:v>
      </x:c>
      <x:c r="D43" s="144" t="str">
        <x:v>0</x:v>
      </x:c>
      <x:c r="E43" s="144" t="str">
        <x:v>1</x:v>
      </x:c>
      <x:c r="F43" s="144" t="str">
        <x:v>0</x:v>
      </x:c>
      <x:c r="G43" s="144" t="str">
        <x:v>1</x:v>
      </x:c>
      <x:c r="H43" s="144" t="str">
        <x:v>0</x:v>
      </x:c>
      <x:c r="I43" s="144" t="str">
        <x:v>0</x:v>
      </x:c>
      <x:c r="J43" s="144" t="str">
        <x:v>1</x:v>
      </x:c>
      <x:c r="K43" s="144" t="str">
        <x:v>1</x:v>
      </x:c>
      <x:c r="L43" s="144" t="str">
        <x:v>1</x:v>
      </x:c>
      <x:c r="M43" s="144" t="str">
        <x:v>0</x:v>
      </x:c>
      <x:c r="N43" s="144" t="str">
        <x:v>0</x:v>
      </x:c>
    </x:row>
    <x:row r="44" ht="110" customHeight="1">
      <x:c r="A44" s="142" t="str">
        <x:v>1.2.826.0.1.3680043.8.498.64703506772167798469048460791472465039</x:v>
      </x:c>
      <x:c r="B44" s="143" t="str">
        <x:v>FINDINGS:
Fractures:
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 The fracture involves the central portion of the medial tibial plateau articular surface anteriorly and posteriorly with articular surface collapse of 3 mm anteriorly and 5 mm posteriorly, as well as a step deformity of up to 2 mm posteriorly.
Small mildly displaced avulsion fracture of the lateral corner of lateral tibial plateau [Segond fracture].
Small mild osteochondral impaction at the anterior lateral weightbearing aspect of lateral femoral condyle.
There is associated bone marrow edema associated with these fractures.
Joint alignment:
Mild widening of the medial femorotibial joint space. Otherwise preserved articular alignment.
Degenerative changes:
None.
Bone marrow signal:
Additional small area of bone marrow edema on the medial side of medial femoral condyle without evidence of associated fracture.
Anterior cruciate ligament: The distal bony avulsion with laxity of the ACL, showing some internal high T2 signal changes compatible with additional low-grade partial ligamentous tear.
Posterior cruciate ligament: Intact with mild laxity.
Medial collateral ligament: Complete tear of the superficial portion at the mid to distal third. Moderate grade partial tear of the deep meniscal femoral and meniscal tibial components with partial meniscocapsular separation of the medial meniscal body.
Lateral collateral ligament complex: Low-grade sprain of the proximal lateral collateral ligament. The other associated structures are intact.
Medial meniscus: Mild nonspecific signal changes of the meniscal body, with evidence of small horizontal oblique tear extending to the femoral surface. No other significant tear. Bony avulsion of the posterior horn root insertion as detailed above.
Lateral meniscus: Mild nonspecific signal changes at the anterior horn compatible with low-grade tearing. Evidence of small Wrisberg rip-type longitudinal tear of the periphery of the posterior horn. Complete tear of the inferior meniscal popliteal fascicle compatible with posterior lateral corner injury. There is a bony avulsion of the anterior horn and posterior horn root insertion sites.
Extensor tendons: Normal.
Patellar retinacula: Moderate grade partial tear of the medial retinaculum.
Pes anserinus: Normal.
Posteromedial and posterolateral corner: Diffuse signal change and mild thickening of the distal semimembranosus tendon compatible with low to moderate grade partial tearing.
Complete tear of the inferior meniscal popliteal fascicle compatible with posterior lateral corner injury.
Joint effusion: Large joint effusion.
Baker cyst: None.
Other significant findings:
None.
CONCLUSION:
*Comminuted mildly displaced avulsion fracture of the tibial spine with mild comminution, including the distal insertion of the ACL, the anterior horn root insertion of the lateral meniscus, and posterior horn root insertion zone of the medial and lateral menisci. Intra-articular fracture extension involving the central portion of the medial tibial plateau with small gap/step as described.
*Small mildly displaced lateral corner fracture of the lateral tibial plateau [Segond fracture].
*Small osteochondral impaction fracture of the lateral corner of lateral femoral condyle.
*High-grade tear of the medial collateral ligament.
*Low-grade partial tear/sprain of the anterior cruciate ligament and lateral collateral ligament.
*Additional low-grade tears involving the medial and lateral menisci as described.
*Moderate grade partial tear of the medial patellar retinaculum.
*Posteromedial and posterolateral corner injuries as described.
*Large joint effusion. </x:v>
      </x:c>
      <x:c r="C44" s="144" t="str">
        <x:v>0</x:v>
      </x:c>
      <x:c r="D44" s="144" t="str">
        <x:v>1</x:v>
      </x:c>
      <x:c r="E44" s="144" t="str">
        <x:v>1</x:v>
      </x:c>
      <x:c r="F44" s="144" t="str">
        <x:v>1</x:v>
      </x:c>
      <x:c r="G44" s="144" t="str">
        <x:v>0</x:v>
      </x:c>
      <x:c r="H44" s="144" t="str">
        <x:v>0</x:v>
      </x:c>
      <x:c r="I44" s="144" t="str">
        <x:v>0</x:v>
      </x:c>
      <x:c r="J44" s="144" t="str">
        <x:v>1</x:v>
      </x:c>
      <x:c r="K44" s="144" t="str">
        <x:v>0</x:v>
      </x:c>
      <x:c r="L44" s="144" t="str">
        <x:v>0</x:v>
      </x:c>
      <x:c r="M44" s="144" t="str">
        <x:v>1</x:v>
      </x:c>
      <x:c r="N44" s="144" t="str">
        <x:v>1</x:v>
      </x:c>
    </x:row>
    <x:row r="45" ht="110" customHeight="1">
      <x:c r="A45" s="142" t="str">
        <x:v>1.2.826.0.1.3680043.8.498.65708905118633339771181857781063784327</x:v>
      </x:c>
      <x:c r="B45" s="143" t="str">
        <x:v> In the medial compartment, there is radial tear at the posterior root of the medial meniscus. There is displaced meniscal fragment into the medial gutter. There is diffuse high grade and low grade chondrosis (less than and more than 50% thickness cartilage loss) along weightbaring medial femoral condyle and medial tibial plateau. There is subchondral edema. Osteophytes are present. 
 The lateral compartment, there is small horizontal tear at the anterior horn of the lateral meniscus. There is focal high grade chondrla defectat mid lateral tibial plateau (about 1.2* 1.1 cm). There is no subchondral edema. Osteophytes are present.  
 The patellofemoral joint, there is diffuse low grade and high grade chondrosis (less than and more than 50% thickness cartilage loss) along medial and lateral trochleas, medial and lateral patellar facets. There is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A 1.5*1.5* 4.5 cm baker's cyst at the posteromedial aspect of left knee. The surrounding musculature is normal.  Tricompartmental osteoarthritis of the left knee by evidence of chondrosis, subchondral edema, and osteophytes. 
  Radial tear at the posterior root of the medial meniscus. (note: meniscal extrusion into the medial gutter). 
  Suspected small horizontal tear at the anterior horn of the lateral meniscus.  
  Some amount of left knee effusion with synovitis and 1.5*1.5* 4.5 cm baker's cyst. </x:v>
      </x:c>
      <x:c r="C45" s="144" t="str">
        <x:v>0</x:v>
      </x:c>
      <x:c r="D45" s="144" t="str">
        <x:v>0</x:v>
      </x:c>
      <x:c r="E45" s="144" t="str">
        <x:v>1</x:v>
      </x:c>
      <x:c r="F45" s="144" t="str">
        <x:v>1</x:v>
      </x:c>
      <x:c r="G45" s="144" t="str">
        <x:v>1</x:v>
      </x:c>
      <x:c r="H45" s="144" t="str">
        <x:v>1</x:v>
      </x:c>
      <x:c r="I45" s="144" t="str">
        <x:v>1</x:v>
      </x:c>
      <x:c r="J45" s="144" t="str">
        <x:v>1</x:v>
      </x:c>
      <x:c r="K45" s="144" t="str">
        <x:v>1</x:v>
      </x:c>
      <x:c r="L45" s="144" t="str">
        <x:v>1</x:v>
      </x:c>
      <x:c r="M45" s="144" t="str">
        <x:v>0</x:v>
      </x:c>
      <x:c r="N45" s="144" t="str">
        <x:v>0</x:v>
      </x:c>
    </x:row>
    <x:row r="46" ht="110" customHeight="1">
      <x:c r="A46" s="142" t="str">
        <x:v>1.2.826.0.1.3680043.8.498.67188121544063723837669983597453941774</x:v>
      </x:c>
      <x:c r="B46" s="143" t="str">
        <x:v>SAĞ DİZ MRG. Tetkik protokolü: Çok düzlemli, çok sekanslı. Bulgular: Medial menisküs posterior hornda radial yırtık hattı izlenmiştir.Lateral menisküste grade II dejenerasyon saptanmıştır. PCL hafif elonge görünümdedir, sinyal bütünlüğü korunmuştur. ACL'de parsiyel rüptürü düşündüren devamsızlık, trasesinde sinyal-kalınlık artışı izlenmiştir. Lateral ve medial kollateral ligaman normaldir.Distal kuadriseps ve patellar tendonlar normaldir. Patella normal yerleşimlidir. Retinaküler devamsızlık yoktur.Suprapatellar bursada, diz eklem kapsülünde artmış efüzyon mevcuttur. </x:v>
      </x:c>
      <x:c r="C46" s="144" t="str">
        <x:v>1</x:v>
      </x:c>
      <x:c r="D46" s="144" t="str">
        <x:v>0</x:v>
      </x:c>
      <x:c r="E46" s="144" t="str">
        <x:v>1</x:v>
      </x:c>
      <x:c r="F46" s="144" t="str">
        <x:v>0</x:v>
      </x:c>
      <x:c r="G46" s="144" t="str">
        <x:v>0</x:v>
      </x:c>
      <x:c r="H46" s="144" t="str">
        <x:v>0</x:v>
      </x:c>
      <x:c r="I46" s="144" t="str">
        <x:v>0</x:v>
      </x:c>
      <x:c r="J46" s="144" t="str">
        <x:v>1</x:v>
      </x:c>
      <x:c r="K46" s="144" t="str">
        <x:v>0</x:v>
      </x:c>
      <x:c r="L46" s="144" t="str">
        <x:v>0</x:v>
      </x:c>
      <x:c r="M46" s="144" t="str">
        <x:v>0</x:v>
      </x:c>
      <x:c r="N46" s="144" t="str">
        <x:v>0</x:v>
      </x:c>
    </x:row>
    <x:row r="47" ht="110" customHeight="1">
      <x:c r="A47" s="142" t="str">
        <x:v>1.2.826.0.1.3680043.8.498.69392348385274125385290015404144639002</x:v>
      </x:c>
      <x:c r="B47" s="143" t="str">
        <x:v>Técnica: RMN de la rodilla. Resultados: Pinzamiento de la almohadilla grasa de Hoffa. Síndrome de fricción de la banda iliotibial. Condropatía rotuliana. Impresión: Pinzamiento de la almohadilla grasa de Hoffa. Síndrome de fricción de la banda iliotibial. Condropatía rotuliana.</x:v>
      </x:c>
      <x:c r="C47" s="144" t="str">
        <x:v>0</x:v>
      </x:c>
      <x:c r="D47" s="144" t="str">
        <x:v>0</x:v>
      </x:c>
      <x:c r="E47" s="144" t="str">
        <x:v>0</x:v>
      </x:c>
      <x:c r="F47" s="144" t="str">
        <x:v>0</x:v>
      </x:c>
      <x:c r="G47" s="144" t="str">
        <x:v>0</x:v>
      </x:c>
      <x:c r="H47" s="144" t="str">
        <x:v>0</x:v>
      </x:c>
      <x:c r="I47" s="144" t="str">
        <x:v>1</x:v>
      </x:c>
      <x:c r="J47" s="144" t="str">
        <x:v>0</x:v>
      </x:c>
      <x:c r="K47" s="144" t="str">
        <x:v>0</x:v>
      </x:c>
      <x:c r="L47" s="144" t="str">
        <x:v>0</x:v>
      </x:c>
      <x:c r="M47" s="144" t="str">
        <x:v>0</x:v>
      </x:c>
      <x:c r="N47" s="144" t="str">
        <x:v>0</x:v>
      </x:c>
    </x:row>
    <x:row r="48" ht="110" customHeight="1">
      <x:c r="A48" s="142" t="str">
        <x:v>1.2.826.0.1.3680043.8.498.72853333220043794904856138561095171921</x:v>
      </x:c>
      <x:c r="B48" s="143" t="str">
        <x:v>Exam Type: MRI KNEE LEFT WO CONTRAST
Exam Date and Time: [DATE] [TIME]
Indication: Left knee pain for 4 weeks after injury at gym.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Focal bone marrow edema at the anteromedial tibial plateau. Small focal osteochondral impaction injury at the posterior lateral femoral condyle.
JOINT SPACE:
No joint effusion. No Baker's cyst.
MEDIAL COMPARTMENT:
Medial meniscus: No tear.
Medial compartment cartilage: Intact.
LATERAL COMPARTMENT:
Lateral meniscus: No tear.
Lateral compartment cartilage: Intact.
PATELLOFEMORAL COMPARTMENT:
Patellofemoral compartment cartilage: Low-grade articular cartilage loss at the lateral and medial patellar facets.
CRUCIATE LIGAMENTS:
Anterior cruciate ligament (ACL): No tear.
Posterior cruciate ligament (PCL): No tear.
COLLATERAL LIGAMENTS &amp; POSTEROLATERAL CORNER:
Medial collateral ligament (MCL): Grade 2 injury.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12 mm, normal.
MUSCLES/TENDONS:
No disproportionate muscle atrophy. Visualized tendons not previously discussed are intact.
SOFT TISSUES:
No soft tissue mass. Normal popliteal neurovascular bundle.
IMPRESSION:
1.	Small acute osteochondral impaction injury at the posterior lateral femoral condyle. Small focus of bone marrow edema at the anteromedial tibial plateau, likely a contusion.
2.	Grade 2 medial collateral ligament (MCL) sprain.
3.	Mild patellofemoral compartment chondrosis.</x:v>
      </x:c>
      <x:c r="C48" s="144" t="str">
        <x:v>0</x:v>
      </x:c>
      <x:c r="D48" s="144" t="str">
        <x:v>1</x:v>
      </x:c>
      <x:c r="E48" s="144" t="str">
        <x:v>0</x:v>
      </x:c>
      <x:c r="F48" s="144" t="str">
        <x:v>0</x:v>
      </x:c>
      <x:c r="G48" s="144" t="str">
        <x:v>0</x:v>
      </x:c>
      <x:c r="H48" s="144" t="str">
        <x:v>0</x:v>
      </x:c>
      <x:c r="I48" s="144" t="str">
        <x:v>0</x:v>
      </x:c>
      <x:c r="J48" s="144" t="str">
        <x:v>0</x:v>
      </x:c>
      <x:c r="K48" s="144" t="str">
        <x:v>0</x:v>
      </x:c>
      <x:c r="L48" s="144" t="str">
        <x:v>0</x:v>
      </x:c>
      <x:c r="M48" s="144" t="str">
        <x:v>0</x:v>
      </x:c>
      <x:c r="N48" s="144" t="str">
        <x:v>0</x:v>
      </x:c>
    </x:row>
    <x:row r="49" ht="110" customHeight="1">
      <x:c r="A49" s="142" t="str">
        <x:v>1.2.826.0.1.3680043.8.498.73527530686853911124431549317032662220</x:v>
      </x:c>
      <x:c r="B49" s="143" t="str">
        <x:v>MRI of Knee with 
-3-Plane Loc, Sag PD FS, Sag T2 FS, Sag T1, Cor T2 FS, Ax T2 FS
&gt; The contour of ACL is not in a straight line and increase signal intensity inside on F/S T2WI, in favor of tear, major at proximal portion.
&gt; The contour of PCL appears to be within normal, no abnormal signal intensity is noted.
&gt; Joint effusion and suprapatellar bursitis with suprapatellar, lateral and medial plicae; hypertrophy of the synovium, indicative of synovitis.
&gt; Linear signal intensity in posterior horn of medial meniscus, and increased signal of meniscocapsular junction, R/O Ramp lesion or peripheral longitudinal tear of posterior horn of medial meniscus.
&gt; Both medial &amp; lateral collateral ligaments appear to be within normal.
&gt; Abnormal signal intensity is noted in proximal tibia and distal femur, which shows low signal intensity on T1WI and high signal intensity on T2WI, in favor of bone contusion, more prominent at lateral side.
  In favor of subchondral fracture of lateral femoral condyle.
&gt; Subcutansoue edema over right knee, more prominent at anterior portion; mild deep infrapatellar bursitis.
&gt; Focal wearing of articular cartilage of femoral trochelam reflecting grade 3-4 chondromalacia and mild subchondral edema (Srs/Img: [ID]
&gt; Small lymph node in popliteal fossa.
Impression: 
1. C/W ACL tear.
2. R/O Ramp lesion or peripheral longitudinal tear of posterior horn of medial meniscus.
3. Bone contusion in right distal femur and proximal tibia, R/O subchondral fracture of lateral femoral condyle.
4. Grade 1 injury of LCL and popliteus tendon
5. Grade 3-4 chondromalacia and mild subchondral edema of femoral trochlea(Srs/Img: [ID].
6. Moderate joint effsuion and synovitis of right knee and patellar plicae.
7. Subcutaneous edema over right knee and deep infrapatellar bursitis.
Suggest correlation with clinical manifestation
  </x:v>
      </x:c>
      <x:c r="C49" s="144" t="str">
        <x:v>1</x:v>
      </x:c>
      <x:c r="D49" s="144" t="str">
        <x:v>0</x:v>
      </x:c>
      <x:c r="E49" s="144" t="str">
        <x:v>0</x:v>
      </x:c>
      <x:c r="F49" s="144" t="str">
        <x:v>0</x:v>
      </x:c>
      <x:c r="G49" s="144" t="str">
        <x:v>0</x:v>
      </x:c>
      <x:c r="H49" s="144" t="str">
        <x:v>0</x:v>
      </x:c>
      <x:c r="I49" s="144" t="str">
        <x:v>1</x:v>
      </x:c>
      <x:c r="J49" s="144" t="str">
        <x:v>1</x:v>
      </x:c>
      <x:c r="K49" s="144" t="str">
        <x:v>0</x:v>
      </x:c>
      <x:c r="L49" s="144" t="str">
        <x:v>0</x:v>
      </x:c>
      <x:c r="M49" s="144" t="str">
        <x:v>1</x:v>
      </x:c>
      <x:c r="N49" s="144" t="str">
        <x:v>1</x:v>
      </x:c>
    </x:row>
    <x:row r="50" ht="110" customHeight="1">
      <x:c r="A50" s="142" t="str">
        <x:v>1.2.826.0.1.3680043.8.498.73926443729786165628848843707532839995</x:v>
      </x:c>
      <x:c r="B50" s="143" t="str">
        <x:v>T2-hyperintense lineare radiale Läsion der Pars intermedia des Innenmeniskus mit inkompletter Separation eines kleinen Lappens (3/7, 5/109-110). Die initial extruierte Pars intermedia des Innenmeniskus im Corpusbereich mukoid aufgefasert. Weitere zarte horizontale T2-Hyperintensität im Innenmeniskushinterhorn (3/7, 4/20). Fokal T2-hyperintenses Signal im medialen Tibiaplateau (7/22). Flüssigkeitssignal ums MCL. VKB, HKB, MCL und LCL intakt und physiologisch signalgebend. Kleine zystoide Veränderungen an den Insertionsstellen des VKB. Geringer Gelenkerguss. Baker-Zyste; diese bis 2 x 1,5 x CC 3,5 cm Ausdehnung.</x:v>
      </x:c>
      <x:c r="C50" s="144" t="str">
        <x:v>0</x:v>
      </x:c>
      <x:c r="D50" s="144" t="str">
        <x:v>0</x:v>
      </x:c>
      <x:c r="E50" s="144" t="str">
        <x:v>1</x:v>
      </x:c>
      <x:c r="F50" s="144" t="str">
        <x:v>0</x:v>
      </x:c>
      <x:c r="G50" s="144" t="str">
        <x:v>0</x:v>
      </x:c>
      <x:c r="H50" s="144" t="str">
        <x:v>0</x:v>
      </x:c>
      <x:c r="I50" s="144" t="str">
        <x:v>1</x:v>
      </x:c>
      <x:c r="J50" s="144" t="str">
        <x:v>1</x:v>
      </x:c>
      <x:c r="K50" s="144" t="str">
        <x:v>1</x:v>
      </x:c>
      <x:c r="L50" s="144" t="str">
        <x:v>0</x:v>
      </x:c>
      <x:c r="M50" s="144" t="str">
        <x:v>0</x:v>
      </x:c>
      <x:c r="N50" s="144" t="str">
        <x:v>0</x:v>
      </x:c>
    </x:row>
    <x:row r="51" ht="110" customHeight="1">
      <x:c r="A51" s="142" t="str">
        <x:v>1.2.826.0.1.3680043.8.498.75187434248356774277526985329346125190</x:v>
      </x:c>
      <x:c r="B51" s="143" t="str">
        <x:v>МР находка: МР данни за ставен излив. Изобразява се остеохондрална фрактура в областта на медиалния кондил на бедрената кост. Фрактурата се представя като хипоинтензна линия с дъговидна форма. Налице е костно-мозъчен едем в костта, както и депресия на медиалното плато. В този участък се изобразява и изтъняване на артикулиращия хрущял на кондила на протежение от около 9 мм. Костно-мозъчен едем е налице в медиалното тибиално плато, както и в отграничен участък от латералния кондил на фемура. Ставният хрущял, покриващ тибията и латералния кондил на бедрената кост, е със запазена дебелина и конгруентност.
МР данни за руптура на задния рог на медиалния менискус. В задния рог на медиалния менискус се изобразява хиперинтензна линия с кос ход, достигаща до края на менискуса и до артикулиращата повърхност на тибията. МР данни за дегенеративни промени в задния рог на латералния менискус. В него се вижда къса хиперинтензна линия с хоризонтален ход, не достигаща до ставните повърхности. Нормално изобразяване на предния рог на медиалния менискус и на 
предния рог на латералния менискус. Латералният менискус е лекостепенно експулсиран встрани. МР данни за пълна руптура на предната кръстна връзка в залавното ѝ място за фемура. Връзката е с разширен напречник и е с дифузно повишен сигнален интензитет. Задна кръстна връзка – интактна. Двата колатерални лигамента са с правилна форма, хомогенна структура и сигнален интензитет до залавните им места. Патела, хрущял на пателата, ретинакулуми – б.о. Сухожилие на m. quadriceps femoris, lig. patellae – нормален образ. Изобразени мускулни групи и останали меки тъкани – нормален образ. Наличие на малка еднокамерна Бекерова киста в поплитеалната ямка с размер 17/12 мм. Заключение: МР данни за остеохондрална фрактура в медиалното плато на бедрената кост. Скъсване в заден рог на медиален менискус - grade 3. Лезия в задния рог на латералния менискус – grade 2a. Пълна руптура на предна кръстна връзка. Ставен излив. Травматичен костно-мозъчен едем. Малка Бекерова киста.</x:v>
      </x:c>
      <x:c r="C51" s="144" t="str">
        <x:v>1</x:v>
      </x:c>
      <x:c r="D51" s="144" t="str">
        <x:v>0</x:v>
      </x:c>
      <x:c r="E51" s="144" t="str">
        <x:v>1</x:v>
      </x:c>
      <x:c r="F51" s="144" t="str">
        <x:v>0</x:v>
      </x:c>
      <x:c r="G51" s="144" t="str">
        <x:v>0</x:v>
      </x:c>
      <x:c r="H51" s="144" t="str">
        <x:v>0</x:v>
      </x:c>
      <x:c r="I51" s="144" t="str">
        <x:v>1</x:v>
      </x:c>
      <x:c r="J51" s="144" t="str">
        <x:v>1</x:v>
      </x:c>
      <x:c r="K51" s="144" t="str">
        <x:v>0</x:v>
      </x:c>
      <x:c r="L51" s="144" t="str">
        <x:v>1</x:v>
      </x:c>
      <x:c r="M51" s="144" t="str">
        <x:v>1</x:v>
      </x:c>
      <x:c r="N51" s="144" t="str">
        <x:v>0</x:v>
      </x:c>
    </x:row>
    <x:row r="52" ht="110" customHeight="1">
      <x:c r="A52" s="142" t="str">
        <x:v>1.2.826.0.1.3680043.8.498.77362718298550276679350855963451855003</x:v>
      </x:c>
      <x:c r="B52" s="143" t="str">
        <x:v>Technique: MRI of the knee. ACL normal. MCL normal. Medial meniscus tear. Lateral meniscus normal. Cartilages normal. Medial retinaculum rupture and medial patello-femoral ligament tear at the site of femoral attachment with haematoma. No Baker's cyst. Mild effusion. Patella type 3 Wiberg. Hypoplastic trochlea. Coclusion: . Medial retinaculum rupture and medial patello-femoral ligament tear at the site of femoral attachment with haematoma.</x:v>
      </x:c>
      <x:c r="C52" s="144" t="str">
        <x:v>0</x:v>
      </x:c>
      <x:c r="D52" s="144" t="str">
        <x:v>0</x:v>
      </x:c>
      <x:c r="E52" s="144" t="str">
        <x:v>0</x:v>
      </x:c>
      <x:c r="F52" s="144" t="str">
        <x:v>0</x:v>
      </x:c>
      <x:c r="G52" s="144" t="str">
        <x:v>0</x:v>
      </x:c>
      <x:c r="H52" s="144" t="str">
        <x:v>1</x:v>
      </x:c>
      <x:c r="I52" s="144" t="str">
        <x:v>0</x:v>
      </x:c>
      <x:c r="J52" s="144" t="str">
        <x:v>1</x:v>
      </x:c>
      <x:c r="K52" s="144" t="str">
        <x:v>1</x:v>
      </x:c>
      <x:c r="L52" s="144" t="str">
        <x:v>0</x:v>
      </x:c>
      <x:c r="M52" s="144" t="str">
        <x:v>1</x:v>
      </x:c>
      <x:c r="N52" s="144" t="str">
        <x:v>0</x:v>
      </x:c>
    </x:row>
    <x:row r="53" ht="110" customHeight="1">
      <x:c r="A53" s="142" t="str">
        <x:v>1.2.826.0.1.3680043.8.498.78512215519177850923279235346968676828</x:v>
      </x:c>
      <x:c r="B53" s="143" t="str">
        <x:v>Zglobna tijela PF zgloba su kongruentna.
PF artrotske promjene s reduciranim zglobnim prostorom, manjim izljevom i hondromalacijom IV
stupnja hrskavice interfasetarno.
Hondromalacija II.stupnja lateralnog platoa tibije i hrskavice medijalnog kondila femura. OA promjene obostrano, izraženije lateralno uz osteofite.
Plato tibije interkondilarno straga pokazuje više manjih subhondralnih cista.
Minimalni izljev.
Prednji križni ligament u području distalnog hvatišta pokazuje trokutasti hiperintenzitet koji
može odgovarati manjoj intrasupstancijskoj rupturi.
Vertikalna ruptura stražnjeg roga medijalnog meniska koja seže i zahvaća donju artikulacijsku
plohu uz promijenjen intenzitet signala posteromedijalnog dijela zglobne čahure i meniskotibijalne
sveze - ramp lezija .
Uz stražnju konturu meniska vidi se nekoliko milimetarskih ganglion cista.
Početno degenerativno promijenjen intenizet signala preostalog dijela medijalnog meniska.
Manja ekstruzija dijela diska u meniskotibijalni recesus.
Lateralni menisk bez znakova degeneracije ili rupture.
Stražnji križni ligament urednog signala te se prati u kontinuitetu.
Lateralni i medijalni kolateralni ligamenti urednog signala te se prate u kontinuitetu.
Blage tendinopatske promjene hvatišta tetive kvadricepsa.
Uredan izgled patelarnog ligamenta.
Bez znakova poplitealne ciste.</x:v>
      </x:c>
      <x:c r="C53" s="144" t="str">
        <x:v>0</x:v>
      </x:c>
      <x:c r="D53" s="144" t="str">
        <x:v>0</x:v>
      </x:c>
      <x:c r="E53" s="144" t="str">
        <x:v>1</x:v>
      </x:c>
      <x:c r="F53" s="144" t="str">
        <x:v>0</x:v>
      </x:c>
      <x:c r="G53" s="144" t="str">
        <x:v>1</x:v>
      </x:c>
      <x:c r="H53" s="144" t="str">
        <x:v>0</x:v>
      </x:c>
      <x:c r="I53" s="144" t="str">
        <x:v>1</x:v>
      </x:c>
      <x:c r="J53" s="144" t="str">
        <x:v>0</x:v>
      </x:c>
      <x:c r="K53" s="144" t="str">
        <x:v>0</x:v>
      </x:c>
      <x:c r="L53" s="144" t="str">
        <x:v>0</x:v>
      </x:c>
      <x:c r="M53" s="144" t="str">
        <x:v>0</x:v>
      </x:c>
      <x:c r="N53" s="144" t="str">
        <x:v>0</x:v>
      </x:c>
    </x:row>
    <x:row r="54" ht="110" customHeight="1">
      <x:c r="A54" s="142" t="str">
        <x:v>1.2.826.0.1.3680043.8.498.82166943552764439138333504456139890254</x:v>
      </x:c>
      <x:c r="B54" s="143" t="str">
        <x:v> In the medial compartment, there is complex tear (main radial component) at the body and posterior horn of the medial meniscus. There is displaced meniscal fragment into the medial gutter. There is diffuse high grade and low grade chondrosis (less than and more than 50% thickness cartilage loss) along weightbaring medial femoral condyle and medial tibial plateau. There is no subchondral edema. Osteophytes are present. 
 The lateral compartment, there is complex tear with buckethandle tear at the anterior horn, body and posterior horn of the lateral meniscus. There is focal high grade chondrosis at the the posterolateral tibial plateau (about 1.5* 1.9 cm). There is subchondral edema. Osteophytes are present.  
 The patellofemoral joint, there is focal grade  chondrosis (less than 50% thickness cartilage loss) at the medial patellar facet (about 1.3* 1 cm). The medial patellofemoral ligament is intact.  
 In the intercondylar notch, there is chronic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present.The surrounding musculature is normal.  Mild medial tibiofemoral compartmental osteoarthritis of the right knee by evidence of chondrosis, subchondral edema and osteophytes. 
  Focal high grade chondrosis at the the posterolateral tibial plateau (about 1.5* 1.9 cm).  
  Focal low grade  chondrosis at the medial patellar facet (about 1.3* 1 cm).  
  Complex tear (main radial component) at the body and posterior horn of the medial meniscus. (note: displaced meniscal fragment into the medial gutter). 
  Complex tear with buckethandle tear at the anterior horn, body and posterior horn of the lateral meniscus. 
  Chronic complete tear of the anterior cruciate ligament, at mid substance.  
  Minimal amount of right knee effusion.</x:v>
      </x:c>
      <x:c r="C54" s="144" t="str">
        <x:v>1</x:v>
      </x:c>
      <x:c r="D54" s="144" t="str">
        <x:v>0</x:v>
      </x:c>
      <x:c r="E54" s="144" t="str">
        <x:v>1</x:v>
      </x:c>
      <x:c r="F54" s="144" t="str">
        <x:v>1</x:v>
      </x:c>
      <x:c r="G54" s="144" t="str">
        <x:v>1</x:v>
      </x:c>
      <x:c r="H54" s="144" t="str">
        <x:v>0</x:v>
      </x:c>
      <x:c r="I54" s="144" t="str">
        <x:v>0</x:v>
      </x:c>
      <x:c r="J54" s="144" t="str">
        <x:v>1</x:v>
      </x:c>
      <x:c r="K54" s="144" t="str">
        <x:v>0</x:v>
      </x:c>
      <x:c r="L54" s="144" t="str">
        <x:v>0</x:v>
      </x:c>
      <x:c r="M54" s="144" t="str">
        <x:v>0</x:v>
      </x:c>
      <x:c r="N54" s="144" t="str">
        <x:v>0</x:v>
      </x:c>
    </x:row>
    <x:row r="55" ht="110" customHeight="1">
      <x:c r="A55" s="142" t="str">
        <x:v>1.2.826.0.1.3680043.8.498.86968600239724310678905311244945464037</x:v>
      </x:c>
      <x:c r="B55" s="143" t="str">
        <x:v>Right knee pain. R/O ACL insufficiency. 
MRI of right knee without contrast. 
Pulse sequences: sagittal T1, axial, coronal, sagittal T2 FS, sagittal PD FS
Findings: 
1. Suggestive of complete tear of ACL. 
The PCL appears intact. 
2. Tear of the posterior horn of medial meniscus.
The lateral meniscus shows no obvious tear. Suspected meniscocapsular separation over posterior horn of lateral meniscus. 
3. The medial &amp; lateral collateral ligaments, quadriceps &amp; patellar tendons show intact appearance. 
4. Mild to moderate knee joint effusion. 
5. Bone marrow edema over lateral tibial plateau. 
Periarticular &amp; intraarticular soft tissue edema mainly over prepatellar &amp; infrapatellar area. 
6. Intact patellar cartilage. 
IMP:
Complete ACL tear. 
Tear of posterior horn of medial meniscus. 
Suspected meniscocapsular separation over posterior horn of lateral meniscus. 
Mild to moderate knee joint effusion. 
Bone marrow edema over lateral tibial plateau.
Suggest clinical correlation and further management. 
</x:v>
      </x:c>
      <x:c r="C55" s="144" t="str">
        <x:v>1</x:v>
      </x:c>
      <x:c r="D55" s="144" t="str">
        <x:v>0</x:v>
      </x:c>
      <x:c r="E55" s="144" t="str">
        <x:v>1</x:v>
      </x:c>
      <x:c r="F55" s="144" t="str">
        <x:v>0</x:v>
      </x:c>
      <x:c r="G55" s="144" t="str">
        <x:v>0</x:v>
      </x:c>
      <x:c r="H55" s="144" t="str">
        <x:v>0</x:v>
      </x:c>
      <x:c r="I55" s="144" t="str">
        <x:v>0</x:v>
      </x:c>
      <x:c r="J55" s="144" t="str">
        <x:v>1</x:v>
      </x:c>
      <x:c r="K55" s="144" t="str">
        <x:v>0</x:v>
      </x:c>
      <x:c r="L55" s="144" t="str">
        <x:v>0</x:v>
      </x:c>
      <x:c r="M55" s="144" t="str">
        <x:v>0</x:v>
      </x:c>
      <x:c r="N55" s="144" t="str">
        <x:v>0</x:v>
      </x:c>
    </x:row>
    <x:row r="56" ht="110" customHeight="1">
      <x:c r="A56" s="142" t="str">
        <x:v>1.2.826.0.1.3680043.8.498.88077418639301174409926781329613570435</x:v>
      </x:c>
      <x:c r="B56" s="143" t="str">
        <x:v>Uznapredovale goanrtrotske promjene uz opsežan zglobni izljev i umjerenu proliferaciju sinovije.
Zone rekonverzijhe koštane srži u metafizi femura.
Denudacija hrskavice medijalnog kompartmenta FT zgloba te fisure i erozije hrskavica lateralnog
kompartmenta.
Hondromalacija III° obje fasete patele i trohleje femura, uz reduciranu debljinu navedenih
hrskavica te opsežne osteofite FP zgloba - opisano u sklopu navedenih OA promjena.
Prikazana zglobna tijela primjereno su uzglobljena.
Kompleksna ruptura oba meniska uz obostrano ekstruziju oko 5 mm, oba meniska značajno
degenerativno promijenjena.
Potpuna ruptura prednjeg križnog ligamenta.
Stražnji križni ligament u proksimalne 2/3 izrazito edematozan, zadebljan (širine 12 mm), uz
tibijalno hvatište nalazi se više ganglion cisti promjera do 7 mm. - dif. dg. uslijed
uznapredovalih degenerativnih promjena ili parcijalne rupture starijeg datuma.
Lateralni kolateralni ligament je vretenasto zadebljan pri hvatištu na lateralni epikondil femura te
promijenjenog intenziteta signala pri hvatištu na glavu fibule, moguće stanje po ranijoj
parcijalnoj rupturi ili uslijed entezopatskih promjena.
Medijalni kolateralni ligament je vretenasto zadebljan pri hvatištu na medijalni epikondil femura
uz periligamentarni edem, vjerojatno uslijed entezopatskih promjena.
Tetiva popliteusa edemazotna, izmijenjenog intenziteta signala, u smislu tendinopatije.
Uredan prikaz iliotibijalnog trakta i pes anserinus.
Tetiva kvadricepsa i patelarni ligament su izmijenjenih intenziteta signala na hvatištima za
patelu, održanog kontinuiteta - entezopatske promjene.
Patelarni retinakulumi održani.
Poplitealna cista promjera 5 mm.
</x:v>
      </x:c>
      <x:c r="C56" s="144" t="str">
        <x:v>1</x:v>
      </x:c>
      <x:c r="D56" s="144" t="str">
        <x:v>0</x:v>
      </x:c>
      <x:c r="E56" s="144" t="str">
        <x:v>1</x:v>
      </x:c>
      <x:c r="F56" s="144" t="str">
        <x:v>1</x:v>
      </x:c>
      <x:c r="G56" s="144" t="str">
        <x:v>1</x:v>
      </x:c>
      <x:c r="H56" s="144" t="str">
        <x:v>1</x:v>
      </x:c>
      <x:c r="I56" s="144" t="str">
        <x:v>1</x:v>
      </x:c>
      <x:c r="J56" s="144" t="str">
        <x:v>1</x:v>
      </x:c>
      <x:c r="K56" s="144" t="str">
        <x:v>1</x:v>
      </x:c>
      <x:c r="L56" s="144" t="str">
        <x:v>1</x:v>
      </x:c>
      <x:c r="M56" s="144" t="str">
        <x:v>0</x:v>
      </x:c>
      <x:c r="N56" s="144" t="str">
        <x:v>0</x:v>
      </x:c>
    </x:row>
    <x:row r="57" ht="110" customHeight="1">
      <x:c r="A57" s="142" t="str">
        <x:v>1.2.826.0.1.3680043.8.498.90283565381042081768587894596970552767</x:v>
      </x:c>
      <x:c r="B57" s="143" t="str">
        <x:v>Técnica: RMN de la rodilla. Resultados: Cambios de señal en el menisco interno sin signos de desgarro. Secuelas de osteocondritis de la tuberosidad tibial. OA femorotibial medial y lateral. OA patelofemoral. Derrame con sinovitis. Quiste subcondral en la meseta tibial lateral. Impresión: Cambios de señal en el menisco interno sin signos de desgarro. OA patelofemoral. Derrame con sinovitis.</x:v>
      </x:c>
      <x:c r="C57" s="144" t="str">
        <x:v>0</x:v>
      </x:c>
      <x:c r="D57" s="144" t="str">
        <x:v>0</x:v>
      </x:c>
      <x:c r="E57" s="144" t="str">
        <x:v>0</x:v>
      </x:c>
      <x:c r="F57" s="144" t="str">
        <x:v>0</x:v>
      </x:c>
      <x:c r="G57" s="144" t="str">
        <x:v>0</x:v>
      </x:c>
      <x:c r="H57" s="144" t="str">
        <x:v>0</x:v>
      </x:c>
      <x:c r="I57" s="144" t="str">
        <x:v>1</x:v>
      </x:c>
      <x:c r="J57" s="144" t="str">
        <x:v>1</x:v>
      </x:c>
      <x:c r="K57" s="144" t="str">
        <x:v>1</x:v>
      </x:c>
      <x:c r="L57" s="144" t="str">
        <x:v>0</x:v>
      </x:c>
      <x:c r="M57" s="144" t="str">
        <x:v>0</x:v>
      </x:c>
      <x:c r="N57" s="144" t="str">
        <x:v>0</x:v>
      </x:c>
    </x:row>
    <x:row r="58" ht="110" customHeight="1">
      <x:c r="A58" s="142" t="str">
        <x:v>1.2.826.0.1.3680043.8.498.94433753471890306108089557761231739312</x:v>
      </x:c>
      <x:c r="B58" s="143" t="str">
        <x:v>No significant knee effusion. Normal medial and lateral menisci. No evidence of tears.  Normal ACL, PCL, MCL and LCL. Normal extensor mechanism.  The tibiofemoral and patellofemoral articular cartilage is normal. Normal visualized bones and surrounding soft tissues.  Conclusion: No evidence of meniscal tears or ligamentous injury.</x:v>
      </x:c>
      <x:c r="C58" s="144" t="str">
        <x:v>0</x:v>
      </x:c>
      <x:c r="D58" s="144" t="str">
        <x:v>0</x:v>
      </x:c>
      <x:c r="E58" s="144" t="str">
        <x:v>0</x:v>
      </x:c>
      <x:c r="F58" s="144" t="str">
        <x:v>0</x:v>
      </x:c>
      <x:c r="G58" s="144" t="str">
        <x:v>0</x:v>
      </x:c>
      <x:c r="H58" s="144" t="str">
        <x:v>0</x:v>
      </x:c>
      <x:c r="I58" s="144" t="str">
        <x:v>0</x:v>
      </x:c>
      <x:c r="J58" s="144" t="str">
        <x:v>0</x:v>
      </x:c>
      <x:c r="K58" s="144" t="str">
        <x:v>0</x:v>
      </x:c>
      <x:c r="L58" s="144" t="str">
        <x:v>1</x:v>
      </x:c>
      <x:c r="M58" s="144" t="str">
        <x:v>0</x:v>
      </x:c>
      <x:c r="N58" s="144" t="str">
        <x:v>0</x:v>
      </x:c>
    </x:row>
    <x:row r="59" ht="110" customHeight="1">
      <x:c r="A59" s="142" t="str">
        <x:v>1.2.826.0.1.3680043.8.498.97274720257634584071500649275217521662</x:v>
      </x:c>
      <x:c r="B59" s="143" t="str">
        <x:v>Stigmata der Inaktivitätsosteopenie sowie verbliebenes bone bruise im posterolateralen Tibiaplateau nahe der Eminentia bei subchondraler Impression mit teils punktuell chondralen Läsionen. Anamnestisch bek. VKB Ruptur mit wohl ligamentärer Ruptur des anteromedialen Bündels sowie knöchernem Ausriss des posterolateralen Bündels (4/23). Weiteres Ossikel/Flake angrenzend an die nicht sicher abgrenzbare Außenmeniskushinterhornwurzel, hier DD ebenfalls Mitbeteiligung/knöcherner Ausriss. Innenmeniskus mit horizontalem Riss Pars intermedia bis ins Hinterhorn ziehend bei mukoider Vorschädigung. Zusätzlich noch Knochenödem im medialen femorotibialen Gelenkkompartiment randständig, tibial führend, bei vorrangig Chondropathie. Begleitend geringer Gelenkerguss, Reizsynovialitis sowie gering Flüssigkeit gefüllte Baker-Zyste mit CC 3,2 cm. Kl. Plica mediopatellaris.</x:v>
      </x:c>
      <x:c r="C59" s="144" t="str">
        <x:v>1</x:v>
      </x:c>
      <x:c r="D59" s="144" t="str">
        <x:v>0</x:v>
      </x:c>
      <x:c r="E59" s="144" t="str">
        <x:v>1</x:v>
      </x:c>
      <x:c r="F59" s="144" t="str">
        <x:v>0</x:v>
      </x:c>
      <x:c r="G59" s="144" t="str">
        <x:v>0</x:v>
      </x:c>
      <x:c r="H59" s="144" t="str">
        <x:v>0</x:v>
      </x:c>
      <x:c r="I59" s="144" t="str">
        <x:v>0</x:v>
      </x:c>
      <x:c r="J59" s="144" t="str">
        <x:v>0</x:v>
      </x:c>
      <x:c r="K59" s="144" t="str">
        <x:v>1</x:v>
      </x:c>
      <x:c r="L59" s="144" t="str">
        <x:v>1</x:v>
      </x:c>
      <x:c r="M59" s="144" t="str">
        <x:v>1</x:v>
      </x:c>
      <x:c r="N59" s="144" t="str">
        <x:v>1</x:v>
      </x:c>
    </x:row>
  </x:sheetData>
  <x:conditionalFormatting sqref="C2:N59">
    <x:cfRule type="cellIs" dxfId="47" priority="1" operator="equal">
      <x:formula>1</x:formula>
    </x:cfRule>
    <x:cfRule type="cellIs" dxfId="48" priority="2" operator="equal">
      <x:formula>0</x:formula>
    </x:cfRule>
  </x:conditionalFormatting>
  <x:pageMargins left="0.7" right="0.7" top="0.75" bottom="0.75" header="0.3" footer="0.3"/>
  <x:tableParts count="1">
    <x:tablePart xmlns:r="http://schemas.openxmlformats.org/officeDocument/2006/relationships" r:id="Rbe3e33742dab46b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42" hidden="0" customWidth="1"/>
    <x:col min="4" max="4" width="42" hidden="0" customWidth="1"/>
    <x:col min="5" max="5" width="42" hidden="0" customWidth="1"/>
  </x:cols>
  <x:sheetData>
    <x:row r="1">
      <x:c r="A1" s="133" t="str">
        <x:v>분석 지표와 해석 원칙</x:v>
      </x:c>
      <x:c r="B1" s="133"/>
      <x:c r="C1" s="133"/>
      <x:c r="D1" s="133"/>
      <x:c r="E1" s="133"/>
    </x:row>
    <x:row r="3">
      <x:c r="A3" s="11" t="str">
        <x:v>지표</x:v>
      </x:c>
      <x:c r="B3" s="11" t="str">
        <x:v>계산</x:v>
      </x:c>
      <x:c r="C3" s="11" t="str">
        <x:v>왜 보는가</x:v>
      </x:c>
      <x:c r="D3" s="11" t="str">
        <x:v>권장 해석</x:v>
      </x:c>
      <x:c r="E3" s="11" t="str">
        <x:v>주의</x:v>
      </x:c>
    </x:row>
    <x:row r="4" ht="44" customHeight="1">
      <x:c r="A4" s="9" t="str">
        <x:v>P(B=1|A=1)</x:v>
      </x:c>
      <x:c r="B4" s="9" t="str">
        <x:v>a/(a+b)</x:v>
      </x:c>
      <x:c r="C4" s="9" t="str">
        <x:v>관련 소견 A가 있을 때 B 양성률</x:v>
      </x:c>
      <x:c r="D4" s="9" t="str">
        <x:v>A가 명시적 양성일 때 보정 후보</x:v>
      </x:c>
      <x:c r="E4" s="9" t="str">
        <x:v>58건 표본의 관찰값</x:v>
      </x:c>
    </x:row>
    <x:row r="5" ht="44" customHeight="1">
      <x:c r="A5" s="9" t="str">
        <x:v>P(B=1|A=0)</x:v>
      </x:c>
      <x:c r="B5" s="9" t="str">
        <x:v>c/(c+d)</x:v>
      </x:c>
      <x:c r="C5" s="9" t="str">
        <x:v>관련 소견 A가 없을 때 B 양성률</x:v>
      </x:c>
      <x:c r="D5" s="9" t="str">
        <x:v>A가 명시적 음성일 때 보정 후보</x:v>
      </x:c>
      <x:c r="E5" s="9" t="str">
        <x:v>A 미언급과 구분</x:v>
      </x:c>
    </x:row>
    <x:row r="6" ht="44" customHeight="1">
      <x:c r="A6" s="9" t="str">
        <x:v>위험도 차이</x:v>
      </x:c>
      <x:c r="B6" s="9" t="str">
        <x:v>P1-P0</x:v>
      </x:c>
      <x:c r="C6" s="9" t="str">
        <x:v>절대 확률 차이</x:v>
      </x:c>
      <x:c r="D6" s="9" t="str">
        <x:v>확률 변화 방향과 크기</x:v>
      </x:c>
      <x:c r="E6" s="9" t="str">
        <x:v>기존 확률에 단순 가산 금지</x:v>
      </x:c>
    </x:row>
    <x:row r="7" ht="44" customHeight="1">
      <x:c r="A7" s="9" t="str">
        <x:v>상대위험도</x:v>
      </x:c>
      <x:c r="B7" s="9" t="str">
        <x:v>P1/P0</x:v>
      </x:c>
      <x:c r="C7" s="9" t="str">
        <x:v>비율적 변화</x:v>
      </x:c>
      <x:c r="D7" s="9" t="str">
        <x:v>1보다 크면 양의 연관</x:v>
      </x:c>
      <x:c r="E7" s="9" t="str">
        <x:v>기저확률에 영향을 받음</x:v>
      </x:c>
    </x:row>
    <x:row r="8" ht="44" customHeight="1">
      <x:c r="A8" s="9" t="str">
        <x:v>오즈비</x:v>
      </x:c>
      <x:c r="B8" s="9" t="str">
        <x:v>(a×d)/(b×c)</x:v>
      </x:c>
      <x:c r="C8" s="9" t="str">
        <x:v>로지스틱 모델에 적합한 효과크기</x:v>
      </x:c>
      <x:c r="D8" s="9" t="str">
        <x:v>1보다 크면 양의 연관</x:v>
      </x:c>
      <x:c r="E8" s="9" t="str">
        <x:v>확률의 배수로 해석 금지</x:v>
      </x:c>
    </x:row>
    <x:row r="9" ht="44" customHeight="1">
      <x:c r="A9" s="9" t="str">
        <x:v>Fisher p</x:v>
      </x:c>
      <x:c r="B9" s="9" t="str">
        <x:v>2×2 정확검정</x:v>
      </x:c>
      <x:c r="C9" s="9" t="str">
        <x:v>작은 셀에서도 독립성 검정</x:v>
      </x:c>
      <x:c r="D9" s="9" t="str">
        <x:v>작을수록 우연 가능성이 낮음</x:v>
      </x:c>
      <x:c r="E9" s="9" t="str">
        <x:v>효과크기는 아님</x:v>
      </x:c>
    </x:row>
    <x:row r="10" ht="44" customHeight="1">
      <x:c r="A10" s="9" t="str">
        <x:v>BH q</x:v>
      </x:c>
      <x:c r="B10" s="9" t="str">
        <x:v>66개 고유 타깃 쌍 FDR 보정</x:v>
      </x:c>
      <x:c r="C10" s="9" t="str">
        <x:v>다중검정의 거짓발견 통제</x:v>
      </x:c>
      <x:c r="D10" s="9" t="str">
        <x:v>0.05 이하는 강한 후보</x:v>
      </x:c>
      <x:c r="E10" s="9" t="str">
        <x:v>현재 58건에서는 경계 결과가 많음</x:v>
      </x:c>
    </x:row>
    <x:row r="11" ht="44" customHeight="1">
      <x:c r="A11" s="9" t="str">
        <x:v>A=1 표본수</x:v>
      </x:c>
      <x:c r="B11" s="9" t="str">
        <x:v>a+b</x:v>
      </x:c>
      <x:c r="C11" s="9" t="str">
        <x:v>조건부확률의 안정성 확인</x:v>
      </x:c>
      <x:c r="D11" s="9" t="str">
        <x:v>클수록 상대적으로 안정</x:v>
      </x:c>
      <x:c r="E11" s="9" t="str">
        <x:v>작으면 비율이 크게 흔들림</x:v>
      </x:c>
    </x:row>
    <x:row r="14" ht="58" customHeight="1">
      <x:c r="A14" s="150" t="str">
        <x:v>사용 원칙: B가 직접 언급되면 직접 판독을 우선하고, B가 미언급일 때만 A의 명시적 양성·음성을 보조 정보로 사용합니다. 추론된 A를 다시 다른 타깃의 입력으로 사용하지 않습니다.</x:v>
      </x:c>
      <x:c r="B14" s="151"/>
      <x:c r="C14" s="151"/>
      <x:c r="D14" s="151"/>
      <x:c r="E14" s="152"/>
    </x:row>
  </x:sheetData>
  <x:mergeCells>
    <x:mergeCell ref="A1:E1"/>
    <x:mergeCell ref="A14:E14"/>
  </x:mergeCells>
  <x:pageMargins left="0.7" right="0.7" top="0.75" bottom="0.75" header="0.3" footer="0.3"/>
  <x:tableParts count="1">
    <x:tablePart xmlns:r="http://schemas.openxmlformats.org/officeDocument/2006/relationships" r:id="R2dcdfa2fb4ff434b"/>
  </x:tableParts>
</x:worksheet>
</file>